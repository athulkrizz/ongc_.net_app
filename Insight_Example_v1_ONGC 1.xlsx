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H315971\Downloads\"/>
    </mc:Choice>
  </mc:AlternateContent>
  <xr:revisionPtr revIDLastSave="0" documentId="8_{77EF9967-216C-48C0-AAD9-B765392A7746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Data set" sheetId="1" r:id="rId1"/>
    <sheet name="Calculation-1" sheetId="4" r:id="rId2"/>
    <sheet name="Calculation-2" sheetId="2" r:id="rId3"/>
    <sheet name="Calculation-3" sheetId="5" r:id="rId4"/>
    <sheet name="Chart-1" sheetId="3" r:id="rId5"/>
    <sheet name="Chart-2" sheetId="6" r:id="rId6"/>
    <sheet name="Chart-3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5" l="1"/>
  <c r="O9" i="5"/>
  <c r="O10" i="5"/>
  <c r="O11" i="5"/>
  <c r="O12" i="5"/>
  <c r="O13" i="5"/>
  <c r="O14" i="5"/>
  <c r="O15" i="5"/>
  <c r="O17" i="5"/>
  <c r="O18" i="5"/>
  <c r="O19" i="5"/>
  <c r="O7" i="5"/>
  <c r="O6" i="5"/>
</calcChain>
</file>

<file path=xl/sharedStrings.xml><?xml version="1.0" encoding="utf-8"?>
<sst xmlns="http://schemas.openxmlformats.org/spreadsheetml/2006/main" count="1284" uniqueCount="149">
  <si>
    <t>Company</t>
  </si>
  <si>
    <t>Project</t>
  </si>
  <si>
    <t>Site</t>
  </si>
  <si>
    <t xml:space="preserve">Well </t>
  </si>
  <si>
    <t>Wellbore</t>
  </si>
  <si>
    <t>Design</t>
  </si>
  <si>
    <t>Owner</t>
  </si>
  <si>
    <t>Created date</t>
  </si>
  <si>
    <t>updated date</t>
  </si>
  <si>
    <t>Description</t>
  </si>
  <si>
    <t>Status</t>
  </si>
  <si>
    <t>A</t>
  </si>
  <si>
    <t>A1</t>
  </si>
  <si>
    <t>A2</t>
  </si>
  <si>
    <t>A3</t>
  </si>
  <si>
    <t>A4</t>
  </si>
  <si>
    <t>A5</t>
  </si>
  <si>
    <t>AA</t>
  </si>
  <si>
    <t>17/07/2026</t>
  </si>
  <si>
    <t>{
"GnG data received":17/07/2026 12:00:900,
"MDT conducted":18/07/2026 14:30:900,
"Design initiated":20/07/2026 17:20:900,
"Sent to DFS":21/07/2026 13:13:900,
"Received from DFS":24/07/2026 18:00:900,
"Sent to cementing team":27/07/2026 14:20:900,
"Received from cementing team":28/07/2026 12:11:900,
"Approvals initiated":30/07/2026 09:23:900,
"Approvals Level 1":01/08/2026 12:10:900,
"Approvals Level 2":02/08/2026 14:00:900,
"Approvals Level 3":07/08/2026 10:11:900,
}</t>
  </si>
  <si>
    <t>Completed</t>
  </si>
  <si>
    <t>B</t>
  </si>
  <si>
    <t>B1</t>
  </si>
  <si>
    <t>B2</t>
  </si>
  <si>
    <t>B3</t>
  </si>
  <si>
    <t>B4</t>
  </si>
  <si>
    <t>B5</t>
  </si>
  <si>
    <t>BB</t>
  </si>
  <si>
    <t>{
"GnG data received":17/07/2026 12:00:900,
"MDT conducted":22/07/2026 14:30:900,
"Design initiated":18/07/2026 17:20:900,
"Sent to DFS":21/07/2026 13:13:900,
"Received from DFS":24/07/2026 18:00:900,
"Sent to cementing team":27/07/2026 14:20:900,
"Received from cementing team":28/07/2026 12:11:900,
"Approvals initiated":30/07/2026 09:23:900,
"Approvals Level 1":01/08/2026 12:10:900,
"Approvals Level 2":02/08/2026 14:00:900,
"Approvals Level 3":07/08/2026 10:11:900,
}</t>
  </si>
  <si>
    <t>A31</t>
  </si>
  <si>
    <t>17/08/2026</t>
  </si>
  <si>
    <t>{
"GnG data received":17/07/2026 12:00:900,
"MDT conducted":22/07/2026 14:30:900,
"Design initiated":18/07/2026 17:20:900,
"Sent to DFS":,
"Received from DFS":,
"Sent to cementing team":27/07/2026 14:20:900,
"Received from cementing team":28/07/2026 12:11:900,
"Approvals initiated":30/07/2026 09:23:900,
"Approvals Level 1":01/08/2026 12:10:900,
"Approvals Level 2":02/08/2026 14:00:900,
"Approvals Level 3":06/08/2026 10:11:900,
}</t>
  </si>
  <si>
    <t>B41</t>
  </si>
  <si>
    <t>{
"GnG data received":17/07/2026 12:00:900,
"MDT conducted":21/07/2026 14:30:900,
"Design initiated":18/07/2026 17:20:900,
"Sent to DFS":,
"Received from DFS":,
"Sent to cementing team":27/07/2026 14:20:900,
"Received from cementing team":28/07/2026 12:11:900,
"Approvals initiated":30/07/2026 09:23:900,
"Approvals Level 1":01/08/2026 12:10:900,
"Approvals Level 2":02/08/2026 14:00:900,
"Approvals Level 3":06/08/2026 10:11:900,
}</t>
  </si>
  <si>
    <t>C</t>
  </si>
  <si>
    <t>C1</t>
  </si>
  <si>
    <t>C2</t>
  </si>
  <si>
    <t>C3</t>
  </si>
  <si>
    <t>C4</t>
  </si>
  <si>
    <t>C5</t>
  </si>
  <si>
    <t>CC</t>
  </si>
  <si>
    <t>21/07/2026</t>
  </si>
  <si>
    <t>{
"GnG data received":17/07/2026 12:00:900,
"MDT conducted":21/07/2026 14:30:900,
"Design initiated":,
"Sent to DFS":,
"Received from DFS":,
"Sent to cementing team":,
"Received from cementing team":,
"Approvals initiated":,
"Approvals Level 1":,
"Approvals Level 2":,
"Approvals Level 3":,
}</t>
  </si>
  <si>
    <t>In progress</t>
  </si>
  <si>
    <t xml:space="preserve">D </t>
  </si>
  <si>
    <t>D1</t>
  </si>
  <si>
    <t>D2</t>
  </si>
  <si>
    <t>D3</t>
  </si>
  <si>
    <t>D4</t>
  </si>
  <si>
    <t>D5</t>
  </si>
  <si>
    <t>DD</t>
  </si>
  <si>
    <t>{
"GnG data received":17/07/2026 12:00:900,
"MDT conducted":21/07/2026 14:30:900,
"Design initiated":18/07/2026 17:20:900,
"Sent to DFS":,
"Received from DFS":,
"Sent to cementing team":27/07/2026 14:20:900,
"Received from cementing team":28/07/2026 12:11:900,
"Approvals initiated":30/07/2026 09:23:900,
"Approvals Level 1":01/08/2026 12:10:900,
"Approvals Level 2":02/08/2026 14:00:900,
"Approvals Level 3":,
}</t>
  </si>
  <si>
    <t>CD</t>
  </si>
  <si>
    <t>17/09/2026</t>
  </si>
  <si>
    <t>{
"GnG data received":17/07/2026 12:00:900,
"MDT conducted":21/07/2026 14:30:900,
"Design initiated":18/07/2026 17:20:900,
"Sent to DFS":23/07/2026 17:20:900,
"Received from DFS":22/07/2026 17:20:900,
"Sent to cementing team":27/07/2026 14:20:900,
"Received from cementing team":28/07/2026 12:11:900,
"Approvals initiated":30/07/2026 09:23:900,
"Approvals Level 1":01/08/2026 12:10:900,
"Approvals Level 2":02/08/2026 14:00:900,
"Approvals Level 3":06/08/2026 10:11:900,
}</t>
  </si>
  <si>
    <t>D</t>
  </si>
  <si>
    <t>DC</t>
  </si>
  <si>
    <t>{
"GnG data received":,
"MDT conducted":21/07/2026 14:30:900,
"Design initiated":18/07/2026 17:20:900,
"Sent to DFS":23/07/2026 17:20:900,
"Received from DFS":22/07/2026 17:20:900,
"Sent to cementing team":27/07/2026 14:20:900,
"Received from cementing team":28/07/2026 12:11:900,
"Approvals initiated":30/07/2026 09:23:900,
"Approvals Level 1":01/08/2026 12:10:900,
"Approvals Level 2":02/08/2026 14:00:900,
"Approvals Level 3":06/08/2026 10:11:900,
}</t>
  </si>
  <si>
    <t>AB</t>
  </si>
  <si>
    <t>{
"GnG data received":,
"MDT conducted":21/07/2026 14:30:900,
"Design initiated":18/07/2026 17:20:900,
"Sent to DFS":23/07/2026 17:20:900,
"Received from DFS":22/07/2026 17:20:900,
"Sent to cementing team":27/07/2026 14:20:900,
"Received from cementing team":28/07/2026 12:11:900,
"Approvals initiated":30/07/2026 09:23:900,
"Approvals Level 1":,
"Approvals Level 2":,
"Approvals Level 3":,
}</t>
  </si>
  <si>
    <t>BA</t>
  </si>
  <si>
    <t>{
"GnG data received":17/07/2026 14:30:900,
"MDT conducted":21/07/2026 14:30:900,
"Design initiated":18/07/2026 17:20:900,
"Sent to DFS":,
"Received from DFS":,
"Sent to cementing team":,
"Received from cementing team":,
"Approvals initiated":30/07/2026 09:23:900,
"Approvals Level 1":01/08/2026 12:10:900,
"Approvals Level 2":02/08/2026 14:00:900,
"Approvals Level 3":06/08/2026 10:11:900,
}</t>
  </si>
  <si>
    <t>AC</t>
  </si>
  <si>
    <t>{
"GnG data received":17/07/2026 14:30:900,
"MDT conducted":,
"Design initiated":,
"Sent to DFS",
"Received from DFS":,
"Sent to cementing team":,
"Received from cementing team":,
"Approvals initiated":,
"Approvals Level 1":,
"Approvals Level 2":,
"Approvals Level 3":,
}</t>
  </si>
  <si>
    <t>AD</t>
  </si>
  <si>
    <t>18/07/2026</t>
  </si>
  <si>
    <t>{
"GnG data received":,
"MDT conducted":,
"Design initiated":18/07/2026 17:20:900,
"Sent to DFS":,
"Received from DFS":,
"Sent to cementing team":,
"Received from cementing team":,
"Approvals initiated":30/07/2026 09:23:900,
"Approvals Level 1":01/08/2026 12:10:900,
"Approvals Level 2":02/08/2026 14:00:900,
"Approvals Level 3":06/08/2026 10:11:900,
}</t>
  </si>
  <si>
    <t>BC</t>
  </si>
  <si>
    <t>{
"GnG data received":,
"MDT conducted":,
"Design initiated":,
"Sent to DFS",
"Received from DFS":,
"Sent to cementing team":,
"Received from cementing team":,
"Approvals initiated":,
"Approvals Level 1":,
"Approvals Level 2":,
"Approvals Level 3":,
}</t>
  </si>
  <si>
    <t>Not started</t>
  </si>
  <si>
    <t>D 1</t>
  </si>
  <si>
    <t>{
"GnG data received":17/07/2026 14:30:900,
"MDT conducted":21/07/2026 14:30:900,
"Design initiated":18/07/2026 17:20:900,
"Sent to DFS":22/07/2026 17:20:900,
"Received from DFS":23/07/2026 17:20:900,
"Sent to cementing team":27/07/2026 14:20:900,
"Received from cementing team":28/07/2026 12:11:900,
"Approvals initiated":30/07/2026 09:23:900,
"Approvals Level 1":01/08/2026 12:10:900,
"Approvals Level 2":02/08/2026 14:00:900,
"Approvals Level 3":06/08/2026 10:11:900,
}</t>
  </si>
  <si>
    <t>NOTE- Name can be same- Ids will be different</t>
  </si>
  <si>
    <t>Created date can be any</t>
  </si>
  <si>
    <t>update date- will be the date when row was last updated</t>
  </si>
  <si>
    <t>GnG data received</t>
  </si>
  <si>
    <t>MDT conducted</t>
  </si>
  <si>
    <t>Design initiated</t>
  </si>
  <si>
    <t>Sent to DFS</t>
  </si>
  <si>
    <t>Received from DFS</t>
  </si>
  <si>
    <t>Sent to cementing team</t>
  </si>
  <si>
    <t>Received from cementing team</t>
  </si>
  <si>
    <t>Approvals initiated</t>
  </si>
  <si>
    <t>Approvals Level 1</t>
  </si>
  <si>
    <t>Approvals Level 2</t>
  </si>
  <si>
    <t>Approvals Level 3</t>
  </si>
  <si>
    <t>17/07/2026 12:00:900</t>
  </si>
  <si>
    <t>18/07/2026 14:30:900</t>
  </si>
  <si>
    <t>20/07/2026 17:20:900</t>
  </si>
  <si>
    <t>21/07/2026 13:13:900</t>
  </si>
  <si>
    <t>24/07/2026 18:00:900</t>
  </si>
  <si>
    <t>27/07/2026 14:20:900</t>
  </si>
  <si>
    <t>28/07/2026 12:11:900</t>
  </si>
  <si>
    <t>30/07/2026 09:23:900</t>
  </si>
  <si>
    <t>01/08/2026 12:10:900</t>
  </si>
  <si>
    <t>02/08/2026 14:00:900</t>
  </si>
  <si>
    <t>07/08/2026 10:11:900</t>
  </si>
  <si>
    <t>22/07/2026 14:30:900</t>
  </si>
  <si>
    <t>18/07/2026 17:20:900</t>
  </si>
  <si>
    <t>06/08/2026 10:11:900</t>
  </si>
  <si>
    <t>21/07/2026 14:30:900</t>
  </si>
  <si>
    <t>23/07/2026 17:20:900</t>
  </si>
  <si>
    <t>22/07/2026 17:20:900</t>
  </si>
  <si>
    <t>17/07/2026 14:30:900</t>
  </si>
  <si>
    <t>Arranged dates in ascending order for calculations</t>
  </si>
  <si>
    <t>Milestone 1</t>
  </si>
  <si>
    <t>Date 1</t>
  </si>
  <si>
    <t>Milestone 2</t>
  </si>
  <si>
    <t>Date 2</t>
  </si>
  <si>
    <t>Milestone 3</t>
  </si>
  <si>
    <t>Date 3</t>
  </si>
  <si>
    <t>Milestone 4</t>
  </si>
  <si>
    <t>Date 4</t>
  </si>
  <si>
    <t>Milestone 5</t>
  </si>
  <si>
    <t>Date 5</t>
  </si>
  <si>
    <t>Milestone 6</t>
  </si>
  <si>
    <t>Date 6</t>
  </si>
  <si>
    <t>Milestone 7</t>
  </si>
  <si>
    <t>Date 7</t>
  </si>
  <si>
    <t>Milestone 8</t>
  </si>
  <si>
    <t>Date 8</t>
  </si>
  <si>
    <t>Milestone 9</t>
  </si>
  <si>
    <t>Date 9</t>
  </si>
  <si>
    <t>Milestone 10</t>
  </si>
  <si>
    <t>Date 10</t>
  </si>
  <si>
    <t>Milestone 11</t>
  </si>
  <si>
    <t>Date 11</t>
  </si>
  <si>
    <t>Days: rank 1→rank 2</t>
  </si>
  <si>
    <t>Days: rank 2→rank 3</t>
  </si>
  <si>
    <t>Days: rank 3→rank 4</t>
  </si>
  <si>
    <t>Days: rank 4→rank 5</t>
  </si>
  <si>
    <t>Days: rank 5→rank 6</t>
  </si>
  <si>
    <t>Days: rank 6→rank 7</t>
  </si>
  <si>
    <t>Days: rank 7→rank 8</t>
  </si>
  <si>
    <t>Days: rank 8→rank 9</t>
  </si>
  <si>
    <t>Days: rank 9→rank 10</t>
  </si>
  <si>
    <t>Days: rank 10→rank 11</t>
  </si>
  <si>
    <t>NOTE- there might be some calculation mistake because of date format</t>
  </si>
  <si>
    <t>C4C</t>
  </si>
  <si>
    <t>D4D</t>
  </si>
  <si>
    <t>C4CC</t>
  </si>
  <si>
    <t>D3D</t>
  </si>
  <si>
    <t>A41</t>
  </si>
  <si>
    <t>B42</t>
  </si>
  <si>
    <t>A4A</t>
  </si>
  <si>
    <t>B43</t>
  </si>
  <si>
    <t>C41</t>
  </si>
  <si>
    <t>D41</t>
  </si>
  <si>
    <t>Chart-1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</si>
</sst>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341462</xdr:colOff>
      <xdr:row>3</xdr:row>
      <xdr:rowOff>68580</xdr:rowOff>
    </xdr:from>
    <xdr:to>
      <xdr:col>12</xdr:col>
      <xdr:colOff>555955</xdr:colOff>
      <xdr:row>26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9182E-4A14-8FE4-BB8A-8A8CC994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062" y="251460"/>
          <a:ext cx="6920093" cy="4183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17</xdr:col>
      <xdr:colOff>28575</xdr:colOff>
      <xdr:row>21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7CDED-FE94-718A-BF6A-BE52A2CA3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9782175" cy="3819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213537</xdr:colOff>
      <xdr:row>2</xdr:row>
      <xdr:rowOff>121920</xdr:rowOff>
    </xdr:from>
    <xdr:to>
      <xdr:col>13</xdr:col>
      <xdr:colOff>419099</xdr:colOff>
      <xdr:row>46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E97CF-F9FC-5ECC-AD63-02AE15ADD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137" y="487680"/>
          <a:ext cx="7520762" cy="8084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6" workbookViewId="0">
      <selection activeCell="D16" sqref="D16"/>
    </sheetView>
  </sheetViews>
  <sheetFormatPr defaultRowHeight="14.45"/>
  <cols>
    <col min="8" max="8" width="11.28515625" bestFit="1" customWidth="1"/>
    <col min="9" max="9" width="11.42578125" bestFit="1" customWidth="1"/>
    <col min="10" max="10" width="115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87.1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3">
        <v>46211</v>
      </c>
      <c r="J2" s="2" t="s">
        <v>19</v>
      </c>
      <c r="K2" t="s">
        <v>20</v>
      </c>
    </row>
    <row r="3" spans="1:11" ht="187.15" customHeight="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s="3">
        <v>46211</v>
      </c>
      <c r="J3" s="2" t="s">
        <v>28</v>
      </c>
      <c r="K3" t="s">
        <v>20</v>
      </c>
    </row>
    <row r="4" spans="1:11" ht="187.15" customHeight="1">
      <c r="A4" t="s">
        <v>11</v>
      </c>
      <c r="B4" t="s">
        <v>12</v>
      </c>
      <c r="C4" t="s">
        <v>13</v>
      </c>
      <c r="D4" t="s">
        <v>29</v>
      </c>
      <c r="E4" t="s">
        <v>15</v>
      </c>
      <c r="F4" t="s">
        <v>16</v>
      </c>
      <c r="G4" t="s">
        <v>17</v>
      </c>
      <c r="H4" t="s">
        <v>18</v>
      </c>
      <c r="I4" t="s">
        <v>30</v>
      </c>
      <c r="J4" s="2" t="s">
        <v>31</v>
      </c>
      <c r="K4" t="s">
        <v>20</v>
      </c>
    </row>
    <row r="5" spans="1:11" ht="187.15" customHeight="1">
      <c r="A5" t="s">
        <v>21</v>
      </c>
      <c r="B5" t="s">
        <v>22</v>
      </c>
      <c r="C5" t="s">
        <v>23</v>
      </c>
      <c r="D5" t="s">
        <v>24</v>
      </c>
      <c r="E5" t="s">
        <v>32</v>
      </c>
      <c r="F5" t="s">
        <v>26</v>
      </c>
      <c r="G5" t="s">
        <v>27</v>
      </c>
      <c r="H5" t="s">
        <v>18</v>
      </c>
      <c r="I5" t="s">
        <v>30</v>
      </c>
      <c r="J5" s="2" t="s">
        <v>33</v>
      </c>
      <c r="K5" t="s">
        <v>20</v>
      </c>
    </row>
    <row r="6" spans="1:11" ht="187.15" customHeight="1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41</v>
      </c>
      <c r="J6" s="2" t="s">
        <v>42</v>
      </c>
      <c r="K6" t="s">
        <v>43</v>
      </c>
    </row>
    <row r="7" spans="1:11" ht="187.15" customHeight="1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18</v>
      </c>
      <c r="I7" s="3">
        <v>46061</v>
      </c>
      <c r="J7" s="2" t="s">
        <v>51</v>
      </c>
      <c r="K7" t="s">
        <v>20</v>
      </c>
    </row>
    <row r="8" spans="1:11" ht="187.15" customHeight="1">
      <c r="A8" t="s">
        <v>34</v>
      </c>
      <c r="B8" t="s">
        <v>36</v>
      </c>
      <c r="C8" t="s">
        <v>36</v>
      </c>
      <c r="D8" t="s">
        <v>37</v>
      </c>
      <c r="E8" t="s">
        <v>38</v>
      </c>
      <c r="F8" t="s">
        <v>39</v>
      </c>
      <c r="G8" t="s">
        <v>52</v>
      </c>
      <c r="H8" t="s">
        <v>18</v>
      </c>
      <c r="I8" t="s">
        <v>53</v>
      </c>
      <c r="J8" s="2" t="s">
        <v>54</v>
      </c>
      <c r="K8" t="s">
        <v>20</v>
      </c>
    </row>
    <row r="9" spans="1:11" ht="187.15" customHeight="1">
      <c r="A9" t="s">
        <v>44</v>
      </c>
      <c r="B9" t="s">
        <v>55</v>
      </c>
      <c r="C9" t="s">
        <v>45</v>
      </c>
      <c r="D9" t="s">
        <v>46</v>
      </c>
      <c r="E9" t="s">
        <v>47</v>
      </c>
      <c r="F9" t="s">
        <v>48</v>
      </c>
      <c r="G9" t="s">
        <v>56</v>
      </c>
      <c r="H9" t="s">
        <v>18</v>
      </c>
      <c r="I9" t="s">
        <v>30</v>
      </c>
      <c r="J9" s="2" t="s">
        <v>57</v>
      </c>
      <c r="K9" t="s">
        <v>20</v>
      </c>
    </row>
    <row r="10" spans="1:11" ht="187.15" customHeight="1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58</v>
      </c>
      <c r="H10" t="s">
        <v>18</v>
      </c>
      <c r="I10" t="s">
        <v>30</v>
      </c>
      <c r="J10" s="2" t="s">
        <v>59</v>
      </c>
      <c r="K10" t="s">
        <v>43</v>
      </c>
    </row>
    <row r="11" spans="1:11" ht="187.15" customHeight="1">
      <c r="A11" t="s">
        <v>22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60</v>
      </c>
      <c r="H11" t="s">
        <v>18</v>
      </c>
      <c r="I11" t="s">
        <v>30</v>
      </c>
      <c r="J11" s="2" t="s">
        <v>61</v>
      </c>
    </row>
    <row r="12" spans="1:11" ht="187.15" customHeight="1">
      <c r="A12" t="s">
        <v>12</v>
      </c>
      <c r="B12" t="s">
        <v>12</v>
      </c>
      <c r="C12" t="s">
        <v>13</v>
      </c>
      <c r="D12" t="s">
        <v>29</v>
      </c>
      <c r="E12" t="s">
        <v>15</v>
      </c>
      <c r="F12" t="s">
        <v>16</v>
      </c>
      <c r="G12" t="s">
        <v>62</v>
      </c>
      <c r="H12" t="s">
        <v>18</v>
      </c>
      <c r="I12" t="s">
        <v>30</v>
      </c>
      <c r="J12" s="2" t="s">
        <v>63</v>
      </c>
    </row>
    <row r="13" spans="1:11" ht="187.15" customHeight="1">
      <c r="A13" t="s">
        <v>22</v>
      </c>
      <c r="B13" t="s">
        <v>22</v>
      </c>
      <c r="C13" t="s">
        <v>23</v>
      </c>
      <c r="D13" t="s">
        <v>24</v>
      </c>
      <c r="E13" t="s">
        <v>32</v>
      </c>
      <c r="F13" t="s">
        <v>26</v>
      </c>
      <c r="G13" t="s">
        <v>64</v>
      </c>
      <c r="H13" t="s">
        <v>65</v>
      </c>
      <c r="I13" t="s">
        <v>30</v>
      </c>
      <c r="J13" s="2" t="s">
        <v>66</v>
      </c>
    </row>
    <row r="14" spans="1:11" ht="187.15" customHeight="1">
      <c r="A14" t="s">
        <v>35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67</v>
      </c>
      <c r="H14" t="s">
        <v>18</v>
      </c>
      <c r="I14" t="s">
        <v>30</v>
      </c>
      <c r="J14" s="2" t="s">
        <v>68</v>
      </c>
      <c r="K14" t="s">
        <v>69</v>
      </c>
    </row>
    <row r="15" spans="1:11" ht="187.15" customHeight="1">
      <c r="A15" t="s">
        <v>70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52</v>
      </c>
      <c r="H15" t="s">
        <v>18</v>
      </c>
      <c r="I15" t="s">
        <v>30</v>
      </c>
      <c r="J15" s="2" t="s">
        <v>71</v>
      </c>
    </row>
    <row r="21" spans="1:1">
      <c r="A21" s="1" t="s">
        <v>72</v>
      </c>
    </row>
    <row r="22" spans="1:1">
      <c r="A22" t="s">
        <v>73</v>
      </c>
    </row>
    <row r="23" spans="1:1">
      <c r="A2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EE30-E98F-4413-A230-41A13C12AA9A}">
  <dimension ref="A1:U15"/>
  <sheetViews>
    <sheetView workbookViewId="0">
      <selection sqref="A1:XFD15"/>
    </sheetView>
  </sheetViews>
  <sheetFormatPr defaultRowHeight="14.45"/>
  <cols>
    <col min="9" max="9" width="11.42578125" bestFit="1" customWidth="1"/>
    <col min="11" max="11" width="19" bestFit="1" customWidth="1"/>
    <col min="19" max="20" width="19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10</v>
      </c>
    </row>
    <row r="2" spans="1:2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3">
        <v>46211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 t="s">
        <v>95</v>
      </c>
      <c r="T2" t="s">
        <v>96</v>
      </c>
      <c r="U2" t="s">
        <v>20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s="3">
        <v>46211</v>
      </c>
      <c r="J3" t="s">
        <v>86</v>
      </c>
      <c r="K3" t="s">
        <v>97</v>
      </c>
      <c r="L3" t="s">
        <v>98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20</v>
      </c>
    </row>
    <row r="4" spans="1:21">
      <c r="A4" t="s">
        <v>11</v>
      </c>
      <c r="B4" t="s">
        <v>12</v>
      </c>
      <c r="C4" t="s">
        <v>13</v>
      </c>
      <c r="D4" t="s">
        <v>29</v>
      </c>
      <c r="E4" t="s">
        <v>15</v>
      </c>
      <c r="F4" t="s">
        <v>16</v>
      </c>
      <c r="G4" t="s">
        <v>17</v>
      </c>
      <c r="H4" t="s">
        <v>18</v>
      </c>
      <c r="I4" t="s">
        <v>30</v>
      </c>
      <c r="J4" t="s">
        <v>86</v>
      </c>
      <c r="K4" t="s">
        <v>97</v>
      </c>
      <c r="L4" t="s">
        <v>98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99</v>
      </c>
      <c r="U4" t="s">
        <v>20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32</v>
      </c>
      <c r="F5" t="s">
        <v>26</v>
      </c>
      <c r="G5" t="s">
        <v>27</v>
      </c>
      <c r="H5" t="s">
        <v>18</v>
      </c>
      <c r="I5" t="s">
        <v>30</v>
      </c>
      <c r="J5" t="s">
        <v>86</v>
      </c>
      <c r="K5" t="s">
        <v>100</v>
      </c>
      <c r="L5" t="s">
        <v>98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99</v>
      </c>
      <c r="U5" t="s">
        <v>20</v>
      </c>
    </row>
    <row r="6" spans="1:21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41</v>
      </c>
      <c r="J6" t="s">
        <v>86</v>
      </c>
      <c r="K6" t="s">
        <v>100</v>
      </c>
      <c r="U6" t="s">
        <v>43</v>
      </c>
    </row>
    <row r="7" spans="1:21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18</v>
      </c>
      <c r="I7" s="3">
        <v>46061</v>
      </c>
      <c r="J7" t="s">
        <v>86</v>
      </c>
      <c r="K7" t="s">
        <v>100</v>
      </c>
      <c r="L7" t="s">
        <v>98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U7" t="s">
        <v>20</v>
      </c>
    </row>
    <row r="8" spans="1:21">
      <c r="A8" t="s">
        <v>34</v>
      </c>
      <c r="B8" t="s">
        <v>36</v>
      </c>
      <c r="C8" t="s">
        <v>36</v>
      </c>
      <c r="D8" t="s">
        <v>37</v>
      </c>
      <c r="E8" t="s">
        <v>38</v>
      </c>
      <c r="F8" t="s">
        <v>39</v>
      </c>
      <c r="G8" t="s">
        <v>52</v>
      </c>
      <c r="H8" t="s">
        <v>18</v>
      </c>
      <c r="I8" t="s">
        <v>53</v>
      </c>
      <c r="J8" t="s">
        <v>86</v>
      </c>
      <c r="K8" t="s">
        <v>100</v>
      </c>
      <c r="L8" t="s">
        <v>98</v>
      </c>
      <c r="M8" t="s">
        <v>101</v>
      </c>
      <c r="N8" t="s">
        <v>102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99</v>
      </c>
      <c r="U8" t="s">
        <v>20</v>
      </c>
    </row>
    <row r="9" spans="1:21">
      <c r="A9" t="s">
        <v>44</v>
      </c>
      <c r="B9" t="s">
        <v>55</v>
      </c>
      <c r="C9" t="s">
        <v>45</v>
      </c>
      <c r="D9" t="s">
        <v>46</v>
      </c>
      <c r="E9" t="s">
        <v>47</v>
      </c>
      <c r="F9" t="s">
        <v>48</v>
      </c>
      <c r="G9" t="s">
        <v>56</v>
      </c>
      <c r="H9" t="s">
        <v>18</v>
      </c>
      <c r="I9" t="s">
        <v>30</v>
      </c>
      <c r="K9" t="s">
        <v>100</v>
      </c>
      <c r="L9" t="s">
        <v>98</v>
      </c>
      <c r="M9" t="s">
        <v>101</v>
      </c>
      <c r="N9" t="s">
        <v>102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99</v>
      </c>
      <c r="U9" t="s">
        <v>20</v>
      </c>
    </row>
    <row r="10" spans="1:21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58</v>
      </c>
      <c r="H10" t="s">
        <v>18</v>
      </c>
      <c r="I10" t="s">
        <v>30</v>
      </c>
      <c r="K10" t="s">
        <v>100</v>
      </c>
      <c r="L10" t="s">
        <v>98</v>
      </c>
      <c r="M10" t="s">
        <v>101</v>
      </c>
      <c r="N10" t="s">
        <v>102</v>
      </c>
      <c r="O10" t="s">
        <v>91</v>
      </c>
      <c r="P10" t="s">
        <v>92</v>
      </c>
      <c r="Q10" t="s">
        <v>93</v>
      </c>
      <c r="U10" t="s">
        <v>43</v>
      </c>
    </row>
    <row r="11" spans="1:21">
      <c r="A11" t="s">
        <v>22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60</v>
      </c>
      <c r="H11" t="s">
        <v>18</v>
      </c>
      <c r="I11" t="s">
        <v>30</v>
      </c>
      <c r="J11" t="s">
        <v>103</v>
      </c>
      <c r="K11" t="s">
        <v>100</v>
      </c>
      <c r="L11" t="s">
        <v>98</v>
      </c>
      <c r="Q11" t="s">
        <v>93</v>
      </c>
      <c r="R11" t="s">
        <v>94</v>
      </c>
      <c r="S11" t="s">
        <v>95</v>
      </c>
      <c r="T11" t="s">
        <v>99</v>
      </c>
    </row>
    <row r="12" spans="1:21">
      <c r="A12" t="s">
        <v>12</v>
      </c>
      <c r="B12" t="s">
        <v>12</v>
      </c>
      <c r="C12" t="s">
        <v>13</v>
      </c>
      <c r="D12" t="s">
        <v>29</v>
      </c>
      <c r="E12" t="s">
        <v>15</v>
      </c>
      <c r="F12" t="s">
        <v>16</v>
      </c>
      <c r="G12" t="s">
        <v>62</v>
      </c>
      <c r="H12" t="s">
        <v>18</v>
      </c>
      <c r="I12" t="s">
        <v>30</v>
      </c>
      <c r="J12" t="s">
        <v>103</v>
      </c>
    </row>
    <row r="13" spans="1:21">
      <c r="A13" t="s">
        <v>22</v>
      </c>
      <c r="B13" t="s">
        <v>22</v>
      </c>
      <c r="C13" t="s">
        <v>23</v>
      </c>
      <c r="D13" t="s">
        <v>24</v>
      </c>
      <c r="E13" t="s">
        <v>32</v>
      </c>
      <c r="F13" t="s">
        <v>26</v>
      </c>
      <c r="G13" t="s">
        <v>64</v>
      </c>
      <c r="H13" t="s">
        <v>65</v>
      </c>
      <c r="I13" t="s">
        <v>30</v>
      </c>
      <c r="L13" t="s">
        <v>98</v>
      </c>
      <c r="Q13" t="s">
        <v>93</v>
      </c>
      <c r="R13" t="s">
        <v>94</v>
      </c>
      <c r="S13" t="s">
        <v>95</v>
      </c>
      <c r="T13" t="s">
        <v>99</v>
      </c>
    </row>
    <row r="14" spans="1:21">
      <c r="A14" t="s">
        <v>35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67</v>
      </c>
      <c r="H14" t="s">
        <v>18</v>
      </c>
      <c r="I14" t="s">
        <v>30</v>
      </c>
      <c r="U14" t="s">
        <v>69</v>
      </c>
    </row>
    <row r="15" spans="1:21">
      <c r="A15" t="s">
        <v>70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52</v>
      </c>
      <c r="H15" t="s">
        <v>18</v>
      </c>
      <c r="I15" t="s">
        <v>30</v>
      </c>
      <c r="J15" t="s">
        <v>103</v>
      </c>
      <c r="K15" t="s">
        <v>100</v>
      </c>
      <c r="L15" t="s">
        <v>98</v>
      </c>
      <c r="M15" t="s">
        <v>102</v>
      </c>
      <c r="N15" t="s">
        <v>101</v>
      </c>
      <c r="O15" t="s">
        <v>91</v>
      </c>
      <c r="P15" t="s">
        <v>92</v>
      </c>
      <c r="Q15" t="s">
        <v>93</v>
      </c>
      <c r="R15" t="s">
        <v>94</v>
      </c>
      <c r="S15" t="s">
        <v>95</v>
      </c>
      <c r="T1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25"/>
  <sheetViews>
    <sheetView topLeftCell="D1" workbookViewId="0">
      <selection activeCell="C16" sqref="A16:XFD16"/>
    </sheetView>
  </sheetViews>
  <sheetFormatPr defaultRowHeight="14.45"/>
  <cols>
    <col min="1" max="7" width="20" customWidth="1"/>
    <col min="8" max="9" width="20" bestFit="1" customWidth="1"/>
    <col min="10" max="42" width="20" customWidth="1"/>
  </cols>
  <sheetData>
    <row r="2" spans="1:42">
      <c r="A2" s="5" t="s">
        <v>104</v>
      </c>
      <c r="B2" s="5"/>
      <c r="C2" s="5"/>
      <c r="D2" s="5"/>
      <c r="E2" s="5"/>
      <c r="F2" s="5"/>
      <c r="G2" s="5"/>
      <c r="H2" s="5"/>
      <c r="I2" s="5"/>
      <c r="J2" s="5"/>
      <c r="K2" s="5"/>
    </row>
    <row r="5" spans="1:4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105</v>
      </c>
      <c r="K5" t="s">
        <v>106</v>
      </c>
      <c r="L5" t="s">
        <v>107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115</v>
      </c>
      <c r="U5" t="s">
        <v>116</v>
      </c>
      <c r="V5" t="s">
        <v>117</v>
      </c>
      <c r="W5" t="s">
        <v>118</v>
      </c>
      <c r="X5" t="s">
        <v>119</v>
      </c>
      <c r="Y5" t="s">
        <v>120</v>
      </c>
      <c r="Z5" t="s">
        <v>121</v>
      </c>
      <c r="AA5" t="s">
        <v>122</v>
      </c>
      <c r="AB5" t="s">
        <v>123</v>
      </c>
      <c r="AC5" t="s">
        <v>124</v>
      </c>
      <c r="AD5" t="s">
        <v>125</v>
      </c>
      <c r="AE5" t="s">
        <v>126</v>
      </c>
      <c r="AF5" t="s">
        <v>10</v>
      </c>
      <c r="AG5" t="s">
        <v>127</v>
      </c>
      <c r="AH5" t="s">
        <v>128</v>
      </c>
      <c r="AI5" t="s">
        <v>129</v>
      </c>
      <c r="AJ5" t="s">
        <v>130</v>
      </c>
      <c r="AK5" t="s">
        <v>131</v>
      </c>
      <c r="AL5" t="s">
        <v>132</v>
      </c>
      <c r="AM5" t="s">
        <v>133</v>
      </c>
      <c r="AN5" t="s">
        <v>134</v>
      </c>
      <c r="AO5" t="s">
        <v>135</v>
      </c>
      <c r="AP5" t="s">
        <v>136</v>
      </c>
    </row>
    <row r="6" spans="1:4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s="3">
        <v>46211</v>
      </c>
      <c r="J6" t="s">
        <v>75</v>
      </c>
      <c r="K6" t="s">
        <v>86</v>
      </c>
      <c r="L6" t="s">
        <v>76</v>
      </c>
      <c r="M6" t="s">
        <v>87</v>
      </c>
      <c r="N6" t="s">
        <v>77</v>
      </c>
      <c r="O6" t="s">
        <v>88</v>
      </c>
      <c r="P6" t="s">
        <v>78</v>
      </c>
      <c r="Q6" t="s">
        <v>89</v>
      </c>
      <c r="R6" t="s">
        <v>79</v>
      </c>
      <c r="S6" t="s">
        <v>90</v>
      </c>
      <c r="T6" t="s">
        <v>80</v>
      </c>
      <c r="U6" t="s">
        <v>91</v>
      </c>
      <c r="V6" t="s">
        <v>81</v>
      </c>
      <c r="W6" t="s">
        <v>92</v>
      </c>
      <c r="X6" t="s">
        <v>82</v>
      </c>
      <c r="Y6" t="s">
        <v>93</v>
      </c>
      <c r="Z6" t="s">
        <v>83</v>
      </c>
      <c r="AA6" t="s">
        <v>94</v>
      </c>
      <c r="AB6" t="s">
        <v>84</v>
      </c>
      <c r="AC6" t="s">
        <v>95</v>
      </c>
      <c r="AD6" t="s">
        <v>85</v>
      </c>
      <c r="AE6" t="s">
        <v>96</v>
      </c>
      <c r="AF6" t="s">
        <v>20</v>
      </c>
      <c r="AG6">
        <v>1.1000000000000001</v>
      </c>
      <c r="AH6">
        <v>2.12</v>
      </c>
      <c r="AI6">
        <v>0.83</v>
      </c>
      <c r="AJ6">
        <v>3.2</v>
      </c>
      <c r="AK6">
        <v>2.85</v>
      </c>
      <c r="AL6">
        <v>0.91</v>
      </c>
      <c r="AM6">
        <v>1.88</v>
      </c>
      <c r="AN6">
        <v>2.12</v>
      </c>
      <c r="AO6">
        <v>1.08</v>
      </c>
      <c r="AP6">
        <v>4.84</v>
      </c>
    </row>
    <row r="7" spans="1:42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18</v>
      </c>
      <c r="I7" s="3">
        <v>46211</v>
      </c>
      <c r="J7" t="s">
        <v>75</v>
      </c>
      <c r="K7" t="s">
        <v>86</v>
      </c>
      <c r="L7" t="s">
        <v>77</v>
      </c>
      <c r="M7" t="s">
        <v>98</v>
      </c>
      <c r="N7" t="s">
        <v>78</v>
      </c>
      <c r="O7" t="s">
        <v>89</v>
      </c>
      <c r="P7" t="s">
        <v>76</v>
      </c>
      <c r="Q7" t="s">
        <v>97</v>
      </c>
      <c r="R7" t="s">
        <v>79</v>
      </c>
      <c r="S7" t="s">
        <v>90</v>
      </c>
      <c r="T7" t="s">
        <v>80</v>
      </c>
      <c r="U7" t="s">
        <v>91</v>
      </c>
      <c r="V7" t="s">
        <v>81</v>
      </c>
      <c r="W7" t="s">
        <v>92</v>
      </c>
      <c r="X7" t="s">
        <v>82</v>
      </c>
      <c r="Y7" t="s">
        <v>93</v>
      </c>
      <c r="Z7" t="s">
        <v>83</v>
      </c>
      <c r="AA7" t="s">
        <v>94</v>
      </c>
      <c r="AB7" t="s">
        <v>84</v>
      </c>
      <c r="AC7" t="s">
        <v>95</v>
      </c>
      <c r="AD7" t="s">
        <v>85</v>
      </c>
      <c r="AE7" t="s">
        <v>96</v>
      </c>
      <c r="AF7" t="s">
        <v>20</v>
      </c>
      <c r="AG7">
        <v>1.22</v>
      </c>
      <c r="AH7">
        <v>2.83</v>
      </c>
      <c r="AI7">
        <v>1.05</v>
      </c>
      <c r="AJ7">
        <v>2.15</v>
      </c>
      <c r="AK7">
        <v>2.85</v>
      </c>
      <c r="AL7">
        <v>0.91</v>
      </c>
      <c r="AM7">
        <v>1.88</v>
      </c>
      <c r="AN7">
        <v>2.12</v>
      </c>
      <c r="AO7">
        <v>1.08</v>
      </c>
      <c r="AP7">
        <v>4.84</v>
      </c>
    </row>
    <row r="8" spans="1:42">
      <c r="A8" t="s">
        <v>11</v>
      </c>
      <c r="B8" t="s">
        <v>12</v>
      </c>
      <c r="C8" t="s">
        <v>13</v>
      </c>
      <c r="D8" t="s">
        <v>29</v>
      </c>
      <c r="E8" t="s">
        <v>15</v>
      </c>
      <c r="F8" t="s">
        <v>16</v>
      </c>
      <c r="G8" t="s">
        <v>17</v>
      </c>
      <c r="H8" t="s">
        <v>18</v>
      </c>
      <c r="I8" t="s">
        <v>30</v>
      </c>
      <c r="J8" t="s">
        <v>75</v>
      </c>
      <c r="K8" t="s">
        <v>86</v>
      </c>
      <c r="L8" t="s">
        <v>77</v>
      </c>
      <c r="M8" t="s">
        <v>98</v>
      </c>
      <c r="N8" t="s">
        <v>76</v>
      </c>
      <c r="O8" t="s">
        <v>97</v>
      </c>
      <c r="P8" t="s">
        <v>80</v>
      </c>
      <c r="Q8" t="s">
        <v>91</v>
      </c>
      <c r="R8" t="s">
        <v>81</v>
      </c>
      <c r="S8" t="s">
        <v>92</v>
      </c>
      <c r="T8" t="s">
        <v>82</v>
      </c>
      <c r="U8" t="s">
        <v>93</v>
      </c>
      <c r="V8" t="s">
        <v>83</v>
      </c>
      <c r="W8" t="s">
        <v>94</v>
      </c>
      <c r="X8" t="s">
        <v>84</v>
      </c>
      <c r="Y8" t="s">
        <v>95</v>
      </c>
      <c r="Z8" t="s">
        <v>85</v>
      </c>
      <c r="AA8" t="s">
        <v>99</v>
      </c>
      <c r="AB8" t="s">
        <v>78</v>
      </c>
      <c r="AD8" t="s">
        <v>79</v>
      </c>
      <c r="AF8" t="s">
        <v>20</v>
      </c>
      <c r="AG8">
        <v>1.22</v>
      </c>
      <c r="AH8">
        <v>3.88</v>
      </c>
      <c r="AI8">
        <v>4.99</v>
      </c>
      <c r="AJ8">
        <v>0.91</v>
      </c>
      <c r="AK8">
        <v>1.88</v>
      </c>
      <c r="AL8">
        <v>2.12</v>
      </c>
      <c r="AM8">
        <v>1.08</v>
      </c>
      <c r="AN8">
        <v>3.84</v>
      </c>
    </row>
    <row r="9" spans="1:42">
      <c r="A9" t="s">
        <v>21</v>
      </c>
      <c r="B9" t="s">
        <v>22</v>
      </c>
      <c r="C9" t="s">
        <v>23</v>
      </c>
      <c r="D9" t="s">
        <v>24</v>
      </c>
      <c r="E9" t="s">
        <v>32</v>
      </c>
      <c r="F9" t="s">
        <v>26</v>
      </c>
      <c r="G9" t="s">
        <v>27</v>
      </c>
      <c r="H9" t="s">
        <v>18</v>
      </c>
      <c r="I9" t="s">
        <v>30</v>
      </c>
      <c r="J9" t="s">
        <v>75</v>
      </c>
      <c r="K9" t="s">
        <v>86</v>
      </c>
      <c r="L9" t="s">
        <v>77</v>
      </c>
      <c r="M9" t="s">
        <v>98</v>
      </c>
      <c r="N9" t="s">
        <v>76</v>
      </c>
      <c r="O9" t="s">
        <v>100</v>
      </c>
      <c r="P9" t="s">
        <v>80</v>
      </c>
      <c r="Q9" t="s">
        <v>91</v>
      </c>
      <c r="R9" t="s">
        <v>81</v>
      </c>
      <c r="S9" t="s">
        <v>92</v>
      </c>
      <c r="T9" t="s">
        <v>82</v>
      </c>
      <c r="U9" t="s">
        <v>93</v>
      </c>
      <c r="V9" t="s">
        <v>83</v>
      </c>
      <c r="W9" t="s">
        <v>94</v>
      </c>
      <c r="X9" t="s">
        <v>84</v>
      </c>
      <c r="Y9" t="s">
        <v>95</v>
      </c>
      <c r="Z9" t="s">
        <v>85</v>
      </c>
      <c r="AA9" t="s">
        <v>99</v>
      </c>
      <c r="AB9" t="s">
        <v>78</v>
      </c>
      <c r="AD9" t="s">
        <v>79</v>
      </c>
      <c r="AF9" t="s">
        <v>20</v>
      </c>
      <c r="AG9">
        <v>1.22</v>
      </c>
      <c r="AH9">
        <v>2.88</v>
      </c>
      <c r="AI9">
        <v>5.99</v>
      </c>
      <c r="AJ9">
        <v>0.91</v>
      </c>
      <c r="AK9">
        <v>1.88</v>
      </c>
      <c r="AL9">
        <v>2.12</v>
      </c>
      <c r="AM9">
        <v>1.08</v>
      </c>
      <c r="AN9">
        <v>3.84</v>
      </c>
    </row>
    <row r="10" spans="1:42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18</v>
      </c>
      <c r="I10" t="s">
        <v>41</v>
      </c>
      <c r="J10" t="s">
        <v>75</v>
      </c>
      <c r="K10" t="s">
        <v>86</v>
      </c>
      <c r="L10" t="s">
        <v>76</v>
      </c>
      <c r="M10" t="s">
        <v>100</v>
      </c>
      <c r="N10" t="s">
        <v>77</v>
      </c>
      <c r="P10" t="s">
        <v>78</v>
      </c>
      <c r="R10" t="s">
        <v>79</v>
      </c>
      <c r="T10" t="s">
        <v>80</v>
      </c>
      <c r="V10" t="s">
        <v>81</v>
      </c>
      <c r="X10" t="s">
        <v>82</v>
      </c>
      <c r="Z10" t="s">
        <v>83</v>
      </c>
      <c r="AB10" t="s">
        <v>84</v>
      </c>
      <c r="AD10" t="s">
        <v>85</v>
      </c>
      <c r="AF10" t="s">
        <v>43</v>
      </c>
      <c r="AG10">
        <v>4.0999999999999996</v>
      </c>
    </row>
    <row r="11" spans="1:42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18</v>
      </c>
      <c r="I11" s="3">
        <v>46061</v>
      </c>
      <c r="J11" t="s">
        <v>75</v>
      </c>
      <c r="K11" t="s">
        <v>86</v>
      </c>
      <c r="L11" t="s">
        <v>77</v>
      </c>
      <c r="M11" t="s">
        <v>98</v>
      </c>
      <c r="N11" t="s">
        <v>76</v>
      </c>
      <c r="O11" t="s">
        <v>100</v>
      </c>
      <c r="P11" t="s">
        <v>80</v>
      </c>
      <c r="Q11" t="s">
        <v>91</v>
      </c>
      <c r="R11" t="s">
        <v>81</v>
      </c>
      <c r="S11" t="s">
        <v>92</v>
      </c>
      <c r="T11" t="s">
        <v>82</v>
      </c>
      <c r="U11" t="s">
        <v>93</v>
      </c>
      <c r="V11" t="s">
        <v>83</v>
      </c>
      <c r="W11" t="s">
        <v>94</v>
      </c>
      <c r="X11" t="s">
        <v>84</v>
      </c>
      <c r="Y11" t="s">
        <v>95</v>
      </c>
      <c r="Z11" t="s">
        <v>78</v>
      </c>
      <c r="AB11" t="s">
        <v>79</v>
      </c>
      <c r="AD11" t="s">
        <v>85</v>
      </c>
      <c r="AF11" t="s">
        <v>20</v>
      </c>
      <c r="AG11">
        <v>1.22</v>
      </c>
      <c r="AH11">
        <v>2.88</v>
      </c>
      <c r="AI11">
        <v>5.99</v>
      </c>
      <c r="AJ11">
        <v>0.91</v>
      </c>
      <c r="AK11">
        <v>1.88</v>
      </c>
      <c r="AL11">
        <v>2.12</v>
      </c>
      <c r="AM11">
        <v>1.08</v>
      </c>
    </row>
    <row r="12" spans="1:42">
      <c r="A12" t="s">
        <v>34</v>
      </c>
      <c r="B12" t="s">
        <v>36</v>
      </c>
      <c r="C12" t="s">
        <v>36</v>
      </c>
      <c r="D12" t="s">
        <v>37</v>
      </c>
      <c r="E12" t="s">
        <v>38</v>
      </c>
      <c r="F12" t="s">
        <v>39</v>
      </c>
      <c r="G12" t="s">
        <v>52</v>
      </c>
      <c r="H12" t="s">
        <v>18</v>
      </c>
      <c r="I12" t="s">
        <v>53</v>
      </c>
      <c r="J12" t="s">
        <v>75</v>
      </c>
      <c r="K12" t="s">
        <v>86</v>
      </c>
      <c r="L12" t="s">
        <v>77</v>
      </c>
      <c r="M12" t="s">
        <v>98</v>
      </c>
      <c r="N12" t="s">
        <v>76</v>
      </c>
      <c r="O12" t="s">
        <v>100</v>
      </c>
      <c r="P12" t="s">
        <v>79</v>
      </c>
      <c r="Q12" t="s">
        <v>102</v>
      </c>
      <c r="R12" t="s">
        <v>78</v>
      </c>
      <c r="S12" t="s">
        <v>101</v>
      </c>
      <c r="T12" t="s">
        <v>80</v>
      </c>
      <c r="U12" t="s">
        <v>91</v>
      </c>
      <c r="V12" t="s">
        <v>81</v>
      </c>
      <c r="W12" t="s">
        <v>92</v>
      </c>
      <c r="X12" t="s">
        <v>82</v>
      </c>
      <c r="Y12" t="s">
        <v>93</v>
      </c>
      <c r="Z12" t="s">
        <v>83</v>
      </c>
      <c r="AA12" t="s">
        <v>94</v>
      </c>
      <c r="AB12" t="s">
        <v>84</v>
      </c>
      <c r="AC12" t="s">
        <v>95</v>
      </c>
      <c r="AD12" t="s">
        <v>85</v>
      </c>
      <c r="AE12" t="s">
        <v>99</v>
      </c>
      <c r="AF12" t="s">
        <v>20</v>
      </c>
      <c r="AG12">
        <v>1.22</v>
      </c>
      <c r="AH12">
        <v>2.88</v>
      </c>
      <c r="AI12">
        <v>1.1200000000000001</v>
      </c>
      <c r="AJ12">
        <v>1</v>
      </c>
      <c r="AK12">
        <v>3.88</v>
      </c>
      <c r="AL12">
        <v>0.91</v>
      </c>
      <c r="AM12">
        <v>1.88</v>
      </c>
      <c r="AN12">
        <v>2.12</v>
      </c>
      <c r="AO12">
        <v>1.08</v>
      </c>
      <c r="AP12">
        <v>3.84</v>
      </c>
    </row>
    <row r="13" spans="1:42">
      <c r="A13" t="s">
        <v>44</v>
      </c>
      <c r="B13" t="s">
        <v>55</v>
      </c>
      <c r="C13" t="s">
        <v>45</v>
      </c>
      <c r="D13" t="s">
        <v>46</v>
      </c>
      <c r="E13" t="s">
        <v>47</v>
      </c>
      <c r="F13" t="s">
        <v>48</v>
      </c>
      <c r="G13" t="s">
        <v>56</v>
      </c>
      <c r="H13" t="s">
        <v>18</v>
      </c>
      <c r="I13" t="s">
        <v>30</v>
      </c>
      <c r="J13" t="s">
        <v>77</v>
      </c>
      <c r="K13" t="s">
        <v>98</v>
      </c>
      <c r="L13" t="s">
        <v>76</v>
      </c>
      <c r="M13" t="s">
        <v>100</v>
      </c>
      <c r="N13" t="s">
        <v>79</v>
      </c>
      <c r="O13" t="s">
        <v>102</v>
      </c>
      <c r="P13" t="s">
        <v>78</v>
      </c>
      <c r="Q13" t="s">
        <v>101</v>
      </c>
      <c r="R13" t="s">
        <v>80</v>
      </c>
      <c r="S13" t="s">
        <v>91</v>
      </c>
      <c r="T13" t="s">
        <v>81</v>
      </c>
      <c r="U13" t="s">
        <v>92</v>
      </c>
      <c r="V13" t="s">
        <v>82</v>
      </c>
      <c r="W13" t="s">
        <v>93</v>
      </c>
      <c r="X13" t="s">
        <v>83</v>
      </c>
      <c r="Y13" t="s">
        <v>94</v>
      </c>
      <c r="Z13" t="s">
        <v>84</v>
      </c>
      <c r="AA13" t="s">
        <v>95</v>
      </c>
      <c r="AB13" t="s">
        <v>85</v>
      </c>
      <c r="AC13" t="s">
        <v>99</v>
      </c>
      <c r="AD13" t="s">
        <v>75</v>
      </c>
      <c r="AF13" t="s">
        <v>20</v>
      </c>
      <c r="AG13">
        <v>2.88</v>
      </c>
      <c r="AH13">
        <v>1.1200000000000001</v>
      </c>
      <c r="AI13">
        <v>1</v>
      </c>
      <c r="AJ13">
        <v>3.88</v>
      </c>
      <c r="AK13">
        <v>0.91</v>
      </c>
      <c r="AL13">
        <v>1.88</v>
      </c>
      <c r="AM13">
        <v>2.12</v>
      </c>
      <c r="AN13">
        <v>1.08</v>
      </c>
      <c r="AO13">
        <v>3.84</v>
      </c>
    </row>
    <row r="14" spans="1:42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58</v>
      </c>
      <c r="H14" t="s">
        <v>18</v>
      </c>
      <c r="I14" t="s">
        <v>30</v>
      </c>
      <c r="J14" t="s">
        <v>77</v>
      </c>
      <c r="K14" t="s">
        <v>98</v>
      </c>
      <c r="L14" t="s">
        <v>76</v>
      </c>
      <c r="M14" t="s">
        <v>100</v>
      </c>
      <c r="N14" t="s">
        <v>79</v>
      </c>
      <c r="O14" t="s">
        <v>102</v>
      </c>
      <c r="P14" t="s">
        <v>78</v>
      </c>
      <c r="Q14" t="s">
        <v>101</v>
      </c>
      <c r="R14" t="s">
        <v>80</v>
      </c>
      <c r="S14" t="s">
        <v>91</v>
      </c>
      <c r="T14" t="s">
        <v>81</v>
      </c>
      <c r="U14" t="s">
        <v>92</v>
      </c>
      <c r="V14" t="s">
        <v>82</v>
      </c>
      <c r="W14" t="s">
        <v>93</v>
      </c>
      <c r="X14" t="s">
        <v>75</v>
      </c>
      <c r="Z14" t="s">
        <v>83</v>
      </c>
      <c r="AB14" t="s">
        <v>84</v>
      </c>
      <c r="AD14" t="s">
        <v>85</v>
      </c>
      <c r="AF14" t="s">
        <v>43</v>
      </c>
      <c r="AG14">
        <v>2.88</v>
      </c>
      <c r="AH14">
        <v>1.1200000000000001</v>
      </c>
      <c r="AI14">
        <v>1</v>
      </c>
      <c r="AJ14">
        <v>3.88</v>
      </c>
      <c r="AK14">
        <v>0.91</v>
      </c>
      <c r="AL14">
        <v>1.88</v>
      </c>
    </row>
    <row r="15" spans="1:42">
      <c r="A15" t="s">
        <v>22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60</v>
      </c>
      <c r="H15" t="s">
        <v>18</v>
      </c>
      <c r="I15" t="s">
        <v>30</v>
      </c>
      <c r="J15" t="s">
        <v>75</v>
      </c>
      <c r="K15" t="s">
        <v>103</v>
      </c>
      <c r="L15" t="s">
        <v>77</v>
      </c>
      <c r="M15" t="s">
        <v>98</v>
      </c>
      <c r="N15" t="s">
        <v>76</v>
      </c>
      <c r="O15" t="s">
        <v>100</v>
      </c>
      <c r="P15" t="s">
        <v>82</v>
      </c>
      <c r="Q15" t="s">
        <v>93</v>
      </c>
      <c r="R15" t="s">
        <v>83</v>
      </c>
      <c r="S15" t="s">
        <v>94</v>
      </c>
      <c r="T15" t="s">
        <v>84</v>
      </c>
      <c r="U15" t="s">
        <v>95</v>
      </c>
      <c r="V15" t="s">
        <v>85</v>
      </c>
      <c r="W15" t="s">
        <v>99</v>
      </c>
      <c r="X15" t="s">
        <v>78</v>
      </c>
      <c r="Z15" t="s">
        <v>79</v>
      </c>
      <c r="AB15" t="s">
        <v>80</v>
      </c>
      <c r="AD15" t="s">
        <v>81</v>
      </c>
      <c r="AG15">
        <v>1.1200000000000001</v>
      </c>
      <c r="AH15">
        <v>2.88</v>
      </c>
      <c r="AI15">
        <v>8.7899999999999991</v>
      </c>
      <c r="AJ15">
        <v>2.12</v>
      </c>
      <c r="AK15">
        <v>1.08</v>
      </c>
      <c r="AL15">
        <v>3.84</v>
      </c>
    </row>
    <row r="16" spans="1:42">
      <c r="A16" t="s">
        <v>12</v>
      </c>
      <c r="B16" t="s">
        <v>12</v>
      </c>
      <c r="C16" t="s">
        <v>13</v>
      </c>
      <c r="D16" t="s">
        <v>29</v>
      </c>
      <c r="E16" t="s">
        <v>15</v>
      </c>
      <c r="F16" t="s">
        <v>16</v>
      </c>
      <c r="G16" t="s">
        <v>62</v>
      </c>
      <c r="H16" t="s">
        <v>18</v>
      </c>
      <c r="I16" t="s">
        <v>30</v>
      </c>
      <c r="J16" t="s">
        <v>75</v>
      </c>
      <c r="K16" t="s">
        <v>103</v>
      </c>
      <c r="L16" t="s">
        <v>76</v>
      </c>
      <c r="N16" t="s">
        <v>77</v>
      </c>
      <c r="P16" t="s">
        <v>78</v>
      </c>
      <c r="R16" t="s">
        <v>79</v>
      </c>
      <c r="T16" t="s">
        <v>80</v>
      </c>
      <c r="V16" t="s">
        <v>81</v>
      </c>
      <c r="X16" t="s">
        <v>82</v>
      </c>
      <c r="Z16" t="s">
        <v>83</v>
      </c>
      <c r="AB16" t="s">
        <v>84</v>
      </c>
      <c r="AD16" t="s">
        <v>85</v>
      </c>
    </row>
    <row r="17" spans="1:42">
      <c r="A17" t="s">
        <v>22</v>
      </c>
      <c r="B17" t="s">
        <v>22</v>
      </c>
      <c r="C17" t="s">
        <v>23</v>
      </c>
      <c r="D17" t="s">
        <v>24</v>
      </c>
      <c r="E17" t="s">
        <v>32</v>
      </c>
      <c r="F17" t="s">
        <v>26</v>
      </c>
      <c r="G17" t="s">
        <v>64</v>
      </c>
      <c r="H17" t="s">
        <v>65</v>
      </c>
      <c r="I17" t="s">
        <v>30</v>
      </c>
      <c r="J17" t="s">
        <v>77</v>
      </c>
      <c r="K17" t="s">
        <v>98</v>
      </c>
      <c r="L17" t="s">
        <v>82</v>
      </c>
      <c r="M17" t="s">
        <v>93</v>
      </c>
      <c r="N17" t="s">
        <v>83</v>
      </c>
      <c r="O17" t="s">
        <v>94</v>
      </c>
      <c r="P17" t="s">
        <v>84</v>
      </c>
      <c r="Q17" t="s">
        <v>95</v>
      </c>
      <c r="R17" t="s">
        <v>85</v>
      </c>
      <c r="S17" t="s">
        <v>99</v>
      </c>
      <c r="T17" t="s">
        <v>75</v>
      </c>
      <c r="V17" t="s">
        <v>76</v>
      </c>
      <c r="X17" t="s">
        <v>78</v>
      </c>
      <c r="Z17" t="s">
        <v>79</v>
      </c>
      <c r="AB17" t="s">
        <v>80</v>
      </c>
      <c r="AD17" t="s">
        <v>81</v>
      </c>
      <c r="AG17">
        <v>11.67</v>
      </c>
      <c r="AH17">
        <v>2.12</v>
      </c>
      <c r="AI17">
        <v>1.08</v>
      </c>
      <c r="AJ17">
        <v>3.84</v>
      </c>
    </row>
    <row r="18" spans="1:42">
      <c r="A18" t="s">
        <v>35</v>
      </c>
      <c r="B18" t="s">
        <v>35</v>
      </c>
      <c r="C18" t="s">
        <v>36</v>
      </c>
      <c r="D18" t="s">
        <v>37</v>
      </c>
      <c r="E18" t="s">
        <v>38</v>
      </c>
      <c r="F18" t="s">
        <v>39</v>
      </c>
      <c r="G18" t="s">
        <v>67</v>
      </c>
      <c r="H18" t="s">
        <v>18</v>
      </c>
      <c r="I18" t="s">
        <v>30</v>
      </c>
      <c r="J18" t="s">
        <v>75</v>
      </c>
      <c r="L18" t="s">
        <v>76</v>
      </c>
      <c r="N18" t="s">
        <v>77</v>
      </c>
      <c r="P18" t="s">
        <v>78</v>
      </c>
      <c r="R18" t="s">
        <v>79</v>
      </c>
      <c r="T18" t="s">
        <v>80</v>
      </c>
      <c r="V18" t="s">
        <v>81</v>
      </c>
      <c r="X18" t="s">
        <v>82</v>
      </c>
      <c r="Z18" t="s">
        <v>83</v>
      </c>
      <c r="AB18" t="s">
        <v>84</v>
      </c>
      <c r="AD18" t="s">
        <v>85</v>
      </c>
      <c r="AF18" t="s">
        <v>69</v>
      </c>
    </row>
    <row r="19" spans="1:42">
      <c r="A19" t="s">
        <v>70</v>
      </c>
      <c r="B19" t="s">
        <v>45</v>
      </c>
      <c r="C19" t="s">
        <v>46</v>
      </c>
      <c r="D19" t="s">
        <v>47</v>
      </c>
      <c r="E19" t="s">
        <v>48</v>
      </c>
      <c r="F19" t="s">
        <v>49</v>
      </c>
      <c r="G19" t="s">
        <v>52</v>
      </c>
      <c r="H19" t="s">
        <v>18</v>
      </c>
      <c r="I19" t="s">
        <v>30</v>
      </c>
      <c r="J19" t="s">
        <v>75</v>
      </c>
      <c r="K19" t="s">
        <v>103</v>
      </c>
      <c r="L19" t="s">
        <v>77</v>
      </c>
      <c r="M19" t="s">
        <v>98</v>
      </c>
      <c r="N19" t="s">
        <v>76</v>
      </c>
      <c r="O19" t="s">
        <v>100</v>
      </c>
      <c r="P19" t="s">
        <v>78</v>
      </c>
      <c r="Q19" t="s">
        <v>102</v>
      </c>
      <c r="R19" t="s">
        <v>79</v>
      </c>
      <c r="S19" t="s">
        <v>101</v>
      </c>
      <c r="T19" t="s">
        <v>80</v>
      </c>
      <c r="U19" t="s">
        <v>91</v>
      </c>
      <c r="V19" t="s">
        <v>81</v>
      </c>
      <c r="W19" t="s">
        <v>92</v>
      </c>
      <c r="X19" t="s">
        <v>82</v>
      </c>
      <c r="Y19" t="s">
        <v>93</v>
      </c>
      <c r="Z19" t="s">
        <v>83</v>
      </c>
      <c r="AA19" t="s">
        <v>94</v>
      </c>
      <c r="AB19" t="s">
        <v>84</v>
      </c>
      <c r="AC19" t="s">
        <v>95</v>
      </c>
      <c r="AD19" t="s">
        <v>85</v>
      </c>
      <c r="AE19" t="s">
        <v>99</v>
      </c>
      <c r="AG19">
        <v>1.1200000000000001</v>
      </c>
      <c r="AH19">
        <v>2.88</v>
      </c>
      <c r="AI19">
        <v>1.1200000000000001</v>
      </c>
      <c r="AJ19">
        <v>1</v>
      </c>
      <c r="AK19">
        <v>3.88</v>
      </c>
      <c r="AL19">
        <v>0.91</v>
      </c>
      <c r="AM19">
        <v>1.88</v>
      </c>
      <c r="AN19">
        <v>2.12</v>
      </c>
      <c r="AO19">
        <v>1.08</v>
      </c>
      <c r="AP19">
        <v>3.84</v>
      </c>
    </row>
    <row r="25" spans="1:42">
      <c r="A25" s="1" t="s">
        <v>137</v>
      </c>
    </row>
  </sheetData>
  <mergeCells count="1"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9AB2-35DC-44AF-8EF1-FFA9B4EEB858}">
  <dimension ref="A2:AZ25"/>
  <sheetViews>
    <sheetView workbookViewId="0">
      <selection activeCell="A5" sqref="A5:XFD19"/>
    </sheetView>
  </sheetViews>
  <sheetFormatPr defaultRowHeight="14.45"/>
  <cols>
    <col min="1" max="7" width="20" customWidth="1"/>
    <col min="8" max="9" width="20" bestFit="1" customWidth="1"/>
    <col min="10" max="52" width="20" customWidth="1"/>
  </cols>
  <sheetData>
    <row r="2" spans="1:52">
      <c r="A2" s="5" t="s">
        <v>104</v>
      </c>
      <c r="B2" s="5"/>
      <c r="C2" s="5"/>
      <c r="D2" s="5"/>
      <c r="E2" s="5"/>
      <c r="F2" s="5"/>
      <c r="G2" s="5"/>
      <c r="H2" s="5"/>
      <c r="I2" s="5"/>
      <c r="J2" s="5"/>
      <c r="K2" s="5"/>
      <c r="L2" s="4"/>
    </row>
    <row r="5" spans="1:5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105</v>
      </c>
      <c r="K5" t="s">
        <v>106</v>
      </c>
      <c r="M5" t="s">
        <v>107</v>
      </c>
      <c r="N5" t="s">
        <v>108</v>
      </c>
      <c r="P5" t="s">
        <v>109</v>
      </c>
      <c r="Q5" t="s">
        <v>110</v>
      </c>
      <c r="S5" t="s">
        <v>111</v>
      </c>
      <c r="T5" t="s">
        <v>112</v>
      </c>
      <c r="V5" t="s">
        <v>113</v>
      </c>
      <c r="W5" t="s">
        <v>114</v>
      </c>
      <c r="Y5" t="s">
        <v>115</v>
      </c>
      <c r="Z5" t="s">
        <v>116</v>
      </c>
      <c r="AB5" t="s">
        <v>117</v>
      </c>
      <c r="AC5" t="s">
        <v>118</v>
      </c>
      <c r="AE5" t="s">
        <v>119</v>
      </c>
      <c r="AF5" t="s">
        <v>120</v>
      </c>
      <c r="AH5" t="s">
        <v>121</v>
      </c>
      <c r="AI5" t="s">
        <v>122</v>
      </c>
      <c r="AK5" t="s">
        <v>123</v>
      </c>
      <c r="AL5" t="s">
        <v>124</v>
      </c>
      <c r="AN5" t="s">
        <v>125</v>
      </c>
      <c r="AO5" t="s">
        <v>126</v>
      </c>
      <c r="AP5" t="s">
        <v>10</v>
      </c>
      <c r="AQ5" t="s">
        <v>127</v>
      </c>
      <c r="AR5" t="s">
        <v>128</v>
      </c>
      <c r="AS5" t="s">
        <v>129</v>
      </c>
      <c r="AT5" t="s">
        <v>130</v>
      </c>
      <c r="AU5" t="s">
        <v>131</v>
      </c>
      <c r="AV5" t="s">
        <v>132</v>
      </c>
      <c r="AW5" t="s">
        <v>133</v>
      </c>
      <c r="AX5" t="s">
        <v>134</v>
      </c>
      <c r="AY5" t="s">
        <v>135</v>
      </c>
      <c r="AZ5" t="s">
        <v>136</v>
      </c>
    </row>
    <row r="6" spans="1:5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s="3">
        <v>46211</v>
      </c>
      <c r="J6" t="s">
        <v>75</v>
      </c>
      <c r="K6" t="s">
        <v>86</v>
      </c>
      <c r="L6">
        <v>0</v>
      </c>
      <c r="M6" t="s">
        <v>76</v>
      </c>
      <c r="N6" t="s">
        <v>87</v>
      </c>
      <c r="O6">
        <f>N6-K6</f>
        <v>1.1041666666715173</v>
      </c>
      <c r="P6" t="s">
        <v>77</v>
      </c>
      <c r="Q6" t="s">
        <v>88</v>
      </c>
      <c r="S6" t="s">
        <v>78</v>
      </c>
      <c r="T6" t="s">
        <v>89</v>
      </c>
      <c r="V6" t="s">
        <v>79</v>
      </c>
      <c r="W6" t="s">
        <v>90</v>
      </c>
      <c r="Y6" t="s">
        <v>80</v>
      </c>
      <c r="Z6" t="s">
        <v>91</v>
      </c>
      <c r="AB6" t="s">
        <v>81</v>
      </c>
      <c r="AC6" t="s">
        <v>92</v>
      </c>
      <c r="AE6" t="s">
        <v>82</v>
      </c>
      <c r="AF6" t="s">
        <v>93</v>
      </c>
      <c r="AH6" t="s">
        <v>83</v>
      </c>
      <c r="AI6" t="s">
        <v>94</v>
      </c>
      <c r="AK6" t="s">
        <v>84</v>
      </c>
      <c r="AL6" t="s">
        <v>95</v>
      </c>
      <c r="AN6" t="s">
        <v>85</v>
      </c>
      <c r="AO6" t="s">
        <v>96</v>
      </c>
      <c r="AP6" t="s">
        <v>20</v>
      </c>
      <c r="AQ6">
        <v>1.1000000000000001</v>
      </c>
      <c r="AR6">
        <v>2.12</v>
      </c>
      <c r="AS6">
        <v>0.83</v>
      </c>
      <c r="AT6">
        <v>3.2</v>
      </c>
      <c r="AU6">
        <v>2.85</v>
      </c>
      <c r="AV6">
        <v>0.91</v>
      </c>
      <c r="AW6">
        <v>1.88</v>
      </c>
      <c r="AX6">
        <v>2.12</v>
      </c>
      <c r="AY6">
        <v>1.08</v>
      </c>
      <c r="AZ6">
        <v>4.84</v>
      </c>
    </row>
    <row r="7" spans="1:52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18</v>
      </c>
      <c r="I7" s="3">
        <v>46211</v>
      </c>
      <c r="J7" t="s">
        <v>75</v>
      </c>
      <c r="K7" t="s">
        <v>86</v>
      </c>
      <c r="L7">
        <v>0</v>
      </c>
      <c r="M7" t="s">
        <v>77</v>
      </c>
      <c r="N7" t="s">
        <v>98</v>
      </c>
      <c r="O7">
        <f>N7-K7</f>
        <v>1.2222222222262644</v>
      </c>
      <c r="P7" t="s">
        <v>78</v>
      </c>
      <c r="Q7" t="s">
        <v>89</v>
      </c>
      <c r="S7" t="s">
        <v>76</v>
      </c>
      <c r="T7" t="s">
        <v>97</v>
      </c>
      <c r="V7" t="s">
        <v>79</v>
      </c>
      <c r="W7" t="s">
        <v>90</v>
      </c>
      <c r="Y7" t="s">
        <v>80</v>
      </c>
      <c r="Z7" t="s">
        <v>91</v>
      </c>
      <c r="AB7" t="s">
        <v>81</v>
      </c>
      <c r="AC7" t="s">
        <v>92</v>
      </c>
      <c r="AE7" t="s">
        <v>82</v>
      </c>
      <c r="AF7" t="s">
        <v>93</v>
      </c>
      <c r="AH7" t="s">
        <v>83</v>
      </c>
      <c r="AI7" t="s">
        <v>94</v>
      </c>
      <c r="AK7" t="s">
        <v>84</v>
      </c>
      <c r="AL7" t="s">
        <v>95</v>
      </c>
      <c r="AN7" t="s">
        <v>85</v>
      </c>
      <c r="AO7" t="s">
        <v>96</v>
      </c>
      <c r="AP7" t="s">
        <v>20</v>
      </c>
      <c r="AQ7">
        <v>1.22</v>
      </c>
      <c r="AR7">
        <v>2.83</v>
      </c>
      <c r="AS7">
        <v>1.05</v>
      </c>
      <c r="AT7">
        <v>2.15</v>
      </c>
      <c r="AU7">
        <v>2.85</v>
      </c>
      <c r="AV7">
        <v>0.91</v>
      </c>
      <c r="AW7">
        <v>1.88</v>
      </c>
      <c r="AX7">
        <v>2.12</v>
      </c>
      <c r="AY7">
        <v>1.08</v>
      </c>
      <c r="AZ7">
        <v>4.84</v>
      </c>
    </row>
    <row r="8" spans="1:52">
      <c r="A8" t="s">
        <v>11</v>
      </c>
      <c r="B8" t="s">
        <v>12</v>
      </c>
      <c r="C8" t="s">
        <v>13</v>
      </c>
      <c r="D8" t="s">
        <v>29</v>
      </c>
      <c r="E8" t="s">
        <v>15</v>
      </c>
      <c r="F8" t="s">
        <v>16</v>
      </c>
      <c r="G8" t="s">
        <v>17</v>
      </c>
      <c r="H8" t="s">
        <v>18</v>
      </c>
      <c r="I8" t="s">
        <v>30</v>
      </c>
      <c r="J8" t="s">
        <v>75</v>
      </c>
      <c r="K8" t="s">
        <v>86</v>
      </c>
      <c r="L8">
        <v>0</v>
      </c>
      <c r="M8" t="s">
        <v>77</v>
      </c>
      <c r="N8" t="s">
        <v>98</v>
      </c>
      <c r="O8">
        <f t="shared" ref="O8:O19" si="0">N8-K8</f>
        <v>1.2222222222262644</v>
      </c>
      <c r="P8" t="s">
        <v>76</v>
      </c>
      <c r="Q8" t="s">
        <v>97</v>
      </c>
      <c r="S8" t="s">
        <v>80</v>
      </c>
      <c r="T8" t="s">
        <v>91</v>
      </c>
      <c r="V8" t="s">
        <v>81</v>
      </c>
      <c r="W8" t="s">
        <v>92</v>
      </c>
      <c r="Y8" t="s">
        <v>82</v>
      </c>
      <c r="Z8" t="s">
        <v>93</v>
      </c>
      <c r="AB8" t="s">
        <v>83</v>
      </c>
      <c r="AC8" t="s">
        <v>94</v>
      </c>
      <c r="AE8" t="s">
        <v>84</v>
      </c>
      <c r="AF8" t="s">
        <v>95</v>
      </c>
      <c r="AH8" t="s">
        <v>85</v>
      </c>
      <c r="AI8" t="s">
        <v>99</v>
      </c>
      <c r="AK8" t="s">
        <v>78</v>
      </c>
      <c r="AN8" t="s">
        <v>79</v>
      </c>
      <c r="AP8" t="s">
        <v>20</v>
      </c>
      <c r="AQ8">
        <v>1.22</v>
      </c>
      <c r="AR8">
        <v>3.88</v>
      </c>
      <c r="AS8">
        <v>4.99</v>
      </c>
      <c r="AT8">
        <v>0.91</v>
      </c>
      <c r="AU8">
        <v>1.88</v>
      </c>
      <c r="AV8">
        <v>2.12</v>
      </c>
      <c r="AW8">
        <v>1.08</v>
      </c>
      <c r="AX8">
        <v>3.84</v>
      </c>
    </row>
    <row r="9" spans="1:52">
      <c r="A9" t="s">
        <v>21</v>
      </c>
      <c r="B9" t="s">
        <v>22</v>
      </c>
      <c r="C9" t="s">
        <v>23</v>
      </c>
      <c r="D9" t="s">
        <v>24</v>
      </c>
      <c r="E9" t="s">
        <v>32</v>
      </c>
      <c r="F9" t="s">
        <v>26</v>
      </c>
      <c r="G9" t="s">
        <v>27</v>
      </c>
      <c r="H9" t="s">
        <v>18</v>
      </c>
      <c r="I9" t="s">
        <v>30</v>
      </c>
      <c r="J9" t="s">
        <v>75</v>
      </c>
      <c r="K9" t="s">
        <v>86</v>
      </c>
      <c r="L9">
        <v>0</v>
      </c>
      <c r="M9" t="s">
        <v>77</v>
      </c>
      <c r="N9" t="s">
        <v>98</v>
      </c>
      <c r="O9">
        <f t="shared" si="0"/>
        <v>1.2222222222262644</v>
      </c>
      <c r="P9" t="s">
        <v>76</v>
      </c>
      <c r="Q9" t="s">
        <v>100</v>
      </c>
      <c r="S9" t="s">
        <v>80</v>
      </c>
      <c r="T9" t="s">
        <v>91</v>
      </c>
      <c r="V9" t="s">
        <v>81</v>
      </c>
      <c r="W9" t="s">
        <v>92</v>
      </c>
      <c r="Y9" t="s">
        <v>82</v>
      </c>
      <c r="Z9" t="s">
        <v>93</v>
      </c>
      <c r="AB9" t="s">
        <v>83</v>
      </c>
      <c r="AC9" t="s">
        <v>94</v>
      </c>
      <c r="AE9" t="s">
        <v>84</v>
      </c>
      <c r="AF9" t="s">
        <v>95</v>
      </c>
      <c r="AH9" t="s">
        <v>85</v>
      </c>
      <c r="AI9" t="s">
        <v>99</v>
      </c>
      <c r="AK9" t="s">
        <v>78</v>
      </c>
      <c r="AN9" t="s">
        <v>79</v>
      </c>
      <c r="AP9" t="s">
        <v>20</v>
      </c>
      <c r="AQ9">
        <v>1.22</v>
      </c>
      <c r="AR9">
        <v>2.88</v>
      </c>
      <c r="AS9">
        <v>5.99</v>
      </c>
      <c r="AT9">
        <v>0.91</v>
      </c>
      <c r="AU9">
        <v>1.88</v>
      </c>
      <c r="AV9">
        <v>2.12</v>
      </c>
      <c r="AW9">
        <v>1.08</v>
      </c>
      <c r="AX9">
        <v>3.84</v>
      </c>
    </row>
    <row r="10" spans="1:52">
      <c r="A10" t="s">
        <v>34</v>
      </c>
      <c r="B10" t="s">
        <v>35</v>
      </c>
      <c r="C10" t="s">
        <v>36</v>
      </c>
      <c r="D10" t="s">
        <v>37</v>
      </c>
      <c r="E10" t="s">
        <v>138</v>
      </c>
      <c r="F10" t="s">
        <v>39</v>
      </c>
      <c r="G10" t="s">
        <v>40</v>
      </c>
      <c r="H10" t="s">
        <v>18</v>
      </c>
      <c r="I10" t="s">
        <v>41</v>
      </c>
      <c r="J10" t="s">
        <v>75</v>
      </c>
      <c r="K10" t="s">
        <v>86</v>
      </c>
      <c r="L10">
        <v>0</v>
      </c>
      <c r="M10" t="s">
        <v>76</v>
      </c>
      <c r="N10" t="s">
        <v>100</v>
      </c>
      <c r="O10">
        <f t="shared" si="0"/>
        <v>4.1041666666715173</v>
      </c>
      <c r="P10" t="s">
        <v>77</v>
      </c>
      <c r="S10" t="s">
        <v>78</v>
      </c>
      <c r="V10" t="s">
        <v>79</v>
      </c>
      <c r="Y10" t="s">
        <v>80</v>
      </c>
      <c r="AB10" t="s">
        <v>81</v>
      </c>
      <c r="AE10" t="s">
        <v>82</v>
      </c>
      <c r="AH10" t="s">
        <v>83</v>
      </c>
      <c r="AK10" t="s">
        <v>84</v>
      </c>
      <c r="AN10" t="s">
        <v>85</v>
      </c>
      <c r="AP10" t="s">
        <v>43</v>
      </c>
      <c r="AQ10">
        <v>4.0999999999999996</v>
      </c>
    </row>
    <row r="11" spans="1:52">
      <c r="A11" t="s">
        <v>44</v>
      </c>
      <c r="B11" t="s">
        <v>45</v>
      </c>
      <c r="C11" t="s">
        <v>46</v>
      </c>
      <c r="D11" t="s">
        <v>47</v>
      </c>
      <c r="E11" t="s">
        <v>139</v>
      </c>
      <c r="F11" t="s">
        <v>49</v>
      </c>
      <c r="G11" t="s">
        <v>50</v>
      </c>
      <c r="H11" t="s">
        <v>18</v>
      </c>
      <c r="I11" s="3">
        <v>46061</v>
      </c>
      <c r="J11" t="s">
        <v>75</v>
      </c>
      <c r="K11" t="s">
        <v>86</v>
      </c>
      <c r="L11">
        <v>0</v>
      </c>
      <c r="M11" t="s">
        <v>77</v>
      </c>
      <c r="N11" t="s">
        <v>98</v>
      </c>
      <c r="O11">
        <f t="shared" si="0"/>
        <v>1.2222222222262644</v>
      </c>
      <c r="P11" t="s">
        <v>76</v>
      </c>
      <c r="Q11" t="s">
        <v>100</v>
      </c>
      <c r="S11" t="s">
        <v>80</v>
      </c>
      <c r="T11" t="s">
        <v>91</v>
      </c>
      <c r="V11" t="s">
        <v>81</v>
      </c>
      <c r="W11" t="s">
        <v>92</v>
      </c>
      <c r="Y11" t="s">
        <v>82</v>
      </c>
      <c r="Z11" t="s">
        <v>93</v>
      </c>
      <c r="AB11" t="s">
        <v>83</v>
      </c>
      <c r="AC11" t="s">
        <v>94</v>
      </c>
      <c r="AE11" t="s">
        <v>84</v>
      </c>
      <c r="AF11" t="s">
        <v>95</v>
      </c>
      <c r="AH11" t="s">
        <v>78</v>
      </c>
      <c r="AK11" t="s">
        <v>79</v>
      </c>
      <c r="AN11" t="s">
        <v>85</v>
      </c>
      <c r="AP11" t="s">
        <v>20</v>
      </c>
      <c r="AQ11">
        <v>1.22</v>
      </c>
      <c r="AR11">
        <v>2.88</v>
      </c>
      <c r="AS11">
        <v>5.99</v>
      </c>
      <c r="AT11">
        <v>0.91</v>
      </c>
      <c r="AU11">
        <v>1.88</v>
      </c>
      <c r="AV11">
        <v>2.12</v>
      </c>
      <c r="AW11">
        <v>1.08</v>
      </c>
    </row>
    <row r="12" spans="1:52">
      <c r="A12" t="s">
        <v>34</v>
      </c>
      <c r="B12" t="s">
        <v>36</v>
      </c>
      <c r="C12" t="s">
        <v>36</v>
      </c>
      <c r="D12" t="s">
        <v>37</v>
      </c>
      <c r="E12" t="s">
        <v>140</v>
      </c>
      <c r="F12" t="s">
        <v>39</v>
      </c>
      <c r="G12" t="s">
        <v>52</v>
      </c>
      <c r="H12" t="s">
        <v>18</v>
      </c>
      <c r="I12" t="s">
        <v>53</v>
      </c>
      <c r="J12" t="s">
        <v>75</v>
      </c>
      <c r="K12" t="s">
        <v>86</v>
      </c>
      <c r="L12">
        <v>0</v>
      </c>
      <c r="M12" t="s">
        <v>77</v>
      </c>
      <c r="N12" t="s">
        <v>98</v>
      </c>
      <c r="O12">
        <f t="shared" si="0"/>
        <v>1.2222222222262644</v>
      </c>
      <c r="P12" t="s">
        <v>76</v>
      </c>
      <c r="Q12" t="s">
        <v>100</v>
      </c>
      <c r="S12" t="s">
        <v>79</v>
      </c>
      <c r="T12" t="s">
        <v>102</v>
      </c>
      <c r="V12" t="s">
        <v>78</v>
      </c>
      <c r="W12" t="s">
        <v>101</v>
      </c>
      <c r="Y12" t="s">
        <v>80</v>
      </c>
      <c r="Z12" t="s">
        <v>91</v>
      </c>
      <c r="AB12" t="s">
        <v>81</v>
      </c>
      <c r="AC12" t="s">
        <v>92</v>
      </c>
      <c r="AE12" t="s">
        <v>82</v>
      </c>
      <c r="AF12" t="s">
        <v>93</v>
      </c>
      <c r="AH12" t="s">
        <v>83</v>
      </c>
      <c r="AI12" t="s">
        <v>94</v>
      </c>
      <c r="AK12" t="s">
        <v>84</v>
      </c>
      <c r="AL12" t="s">
        <v>95</v>
      </c>
      <c r="AN12" t="s">
        <v>85</v>
      </c>
      <c r="AO12" t="s">
        <v>99</v>
      </c>
      <c r="AP12" t="s">
        <v>20</v>
      </c>
      <c r="AQ12">
        <v>1.22</v>
      </c>
      <c r="AR12">
        <v>2.88</v>
      </c>
      <c r="AS12">
        <v>1.1200000000000001</v>
      </c>
      <c r="AT12">
        <v>1</v>
      </c>
      <c r="AU12">
        <v>3.88</v>
      </c>
      <c r="AV12">
        <v>0.91</v>
      </c>
      <c r="AW12">
        <v>1.88</v>
      </c>
      <c r="AX12">
        <v>2.12</v>
      </c>
      <c r="AY12">
        <v>1.08</v>
      </c>
      <c r="AZ12">
        <v>3.84</v>
      </c>
    </row>
    <row r="13" spans="1:52">
      <c r="A13" t="s">
        <v>44</v>
      </c>
      <c r="B13" t="s">
        <v>55</v>
      </c>
      <c r="C13" t="s">
        <v>45</v>
      </c>
      <c r="D13" t="s">
        <v>46</v>
      </c>
      <c r="E13" t="s">
        <v>141</v>
      </c>
      <c r="F13" t="s">
        <v>48</v>
      </c>
      <c r="G13" t="s">
        <v>56</v>
      </c>
      <c r="H13" t="s">
        <v>18</v>
      </c>
      <c r="I13" t="s">
        <v>30</v>
      </c>
      <c r="J13" t="s">
        <v>77</v>
      </c>
      <c r="K13" t="s">
        <v>98</v>
      </c>
      <c r="L13">
        <v>0</v>
      </c>
      <c r="M13" t="s">
        <v>76</v>
      </c>
      <c r="N13" t="s">
        <v>100</v>
      </c>
      <c r="O13">
        <f t="shared" si="0"/>
        <v>2.8819444444452529</v>
      </c>
      <c r="P13" t="s">
        <v>79</v>
      </c>
      <c r="Q13" t="s">
        <v>102</v>
      </c>
      <c r="S13" t="s">
        <v>78</v>
      </c>
      <c r="T13" t="s">
        <v>101</v>
      </c>
      <c r="V13" t="s">
        <v>80</v>
      </c>
      <c r="W13" t="s">
        <v>91</v>
      </c>
      <c r="Y13" t="s">
        <v>81</v>
      </c>
      <c r="Z13" t="s">
        <v>92</v>
      </c>
      <c r="AB13" t="s">
        <v>82</v>
      </c>
      <c r="AC13" t="s">
        <v>93</v>
      </c>
      <c r="AE13" t="s">
        <v>83</v>
      </c>
      <c r="AF13" t="s">
        <v>94</v>
      </c>
      <c r="AH13" t="s">
        <v>84</v>
      </c>
      <c r="AI13" t="s">
        <v>95</v>
      </c>
      <c r="AK13" t="s">
        <v>85</v>
      </c>
      <c r="AL13" t="s">
        <v>99</v>
      </c>
      <c r="AN13" t="s">
        <v>75</v>
      </c>
      <c r="AP13" t="s">
        <v>20</v>
      </c>
      <c r="AQ13">
        <v>2.88</v>
      </c>
      <c r="AR13">
        <v>1.1200000000000001</v>
      </c>
      <c r="AS13">
        <v>1</v>
      </c>
      <c r="AT13">
        <v>3.88</v>
      </c>
      <c r="AU13">
        <v>0.91</v>
      </c>
      <c r="AV13">
        <v>1.88</v>
      </c>
      <c r="AW13">
        <v>2.12</v>
      </c>
      <c r="AX13">
        <v>1.08</v>
      </c>
      <c r="AY13">
        <v>3.84</v>
      </c>
    </row>
    <row r="14" spans="1:52">
      <c r="A14" t="s">
        <v>12</v>
      </c>
      <c r="B14" t="s">
        <v>12</v>
      </c>
      <c r="C14" t="s">
        <v>13</v>
      </c>
      <c r="D14" t="s">
        <v>14</v>
      </c>
      <c r="E14" t="s">
        <v>142</v>
      </c>
      <c r="F14" t="s">
        <v>16</v>
      </c>
      <c r="G14" t="s">
        <v>58</v>
      </c>
      <c r="H14" t="s">
        <v>18</v>
      </c>
      <c r="I14" t="s">
        <v>30</v>
      </c>
      <c r="J14" t="s">
        <v>77</v>
      </c>
      <c r="K14" t="s">
        <v>98</v>
      </c>
      <c r="L14">
        <v>0</v>
      </c>
      <c r="M14" t="s">
        <v>76</v>
      </c>
      <c r="N14" t="s">
        <v>100</v>
      </c>
      <c r="O14">
        <f t="shared" si="0"/>
        <v>2.8819444444452529</v>
      </c>
      <c r="P14" t="s">
        <v>79</v>
      </c>
      <c r="Q14" t="s">
        <v>102</v>
      </c>
      <c r="S14" t="s">
        <v>78</v>
      </c>
      <c r="T14" t="s">
        <v>101</v>
      </c>
      <c r="V14" t="s">
        <v>80</v>
      </c>
      <c r="W14" t="s">
        <v>91</v>
      </c>
      <c r="Y14" t="s">
        <v>81</v>
      </c>
      <c r="Z14" t="s">
        <v>92</v>
      </c>
      <c r="AB14" t="s">
        <v>82</v>
      </c>
      <c r="AC14" t="s">
        <v>93</v>
      </c>
      <c r="AE14" t="s">
        <v>75</v>
      </c>
      <c r="AH14" t="s">
        <v>83</v>
      </c>
      <c r="AK14" t="s">
        <v>84</v>
      </c>
      <c r="AN14" t="s">
        <v>85</v>
      </c>
      <c r="AP14" t="s">
        <v>43</v>
      </c>
      <c r="AQ14">
        <v>2.88</v>
      </c>
      <c r="AR14">
        <v>1.1200000000000001</v>
      </c>
      <c r="AS14">
        <v>1</v>
      </c>
      <c r="AT14">
        <v>3.88</v>
      </c>
      <c r="AU14">
        <v>0.91</v>
      </c>
      <c r="AV14">
        <v>1.88</v>
      </c>
    </row>
    <row r="15" spans="1:52">
      <c r="A15" t="s">
        <v>22</v>
      </c>
      <c r="B15" t="s">
        <v>22</v>
      </c>
      <c r="C15" t="s">
        <v>23</v>
      </c>
      <c r="D15" t="s">
        <v>24</v>
      </c>
      <c r="E15" t="s">
        <v>143</v>
      </c>
      <c r="F15" t="s">
        <v>26</v>
      </c>
      <c r="G15" t="s">
        <v>60</v>
      </c>
      <c r="H15" t="s">
        <v>18</v>
      </c>
      <c r="I15" t="s">
        <v>30</v>
      </c>
      <c r="J15" t="s">
        <v>75</v>
      </c>
      <c r="K15" t="s">
        <v>103</v>
      </c>
      <c r="L15">
        <v>0</v>
      </c>
      <c r="M15" t="s">
        <v>77</v>
      </c>
      <c r="N15" t="s">
        <v>98</v>
      </c>
      <c r="O15">
        <f t="shared" si="0"/>
        <v>1.1180555555547471</v>
      </c>
      <c r="P15" t="s">
        <v>76</v>
      </c>
      <c r="Q15" t="s">
        <v>100</v>
      </c>
      <c r="S15" t="s">
        <v>82</v>
      </c>
      <c r="T15" t="s">
        <v>93</v>
      </c>
      <c r="V15" t="s">
        <v>83</v>
      </c>
      <c r="W15" t="s">
        <v>94</v>
      </c>
      <c r="Y15" t="s">
        <v>84</v>
      </c>
      <c r="Z15" t="s">
        <v>95</v>
      </c>
      <c r="AB15" t="s">
        <v>85</v>
      </c>
      <c r="AC15" t="s">
        <v>99</v>
      </c>
      <c r="AE15" t="s">
        <v>78</v>
      </c>
      <c r="AH15" t="s">
        <v>79</v>
      </c>
      <c r="AK15" t="s">
        <v>80</v>
      </c>
      <c r="AN15" t="s">
        <v>81</v>
      </c>
      <c r="AQ15">
        <v>1.1200000000000001</v>
      </c>
      <c r="AR15">
        <v>2.88</v>
      </c>
      <c r="AS15">
        <v>8.7899999999999991</v>
      </c>
      <c r="AT15">
        <v>2.12</v>
      </c>
      <c r="AU15">
        <v>1.08</v>
      </c>
      <c r="AV15">
        <v>3.84</v>
      </c>
    </row>
    <row r="16" spans="1:52">
      <c r="A16" t="s">
        <v>12</v>
      </c>
      <c r="B16" t="s">
        <v>12</v>
      </c>
      <c r="C16" t="s">
        <v>13</v>
      </c>
      <c r="D16" t="s">
        <v>29</v>
      </c>
      <c r="E16" t="s">
        <v>144</v>
      </c>
      <c r="F16" t="s">
        <v>16</v>
      </c>
      <c r="G16" t="s">
        <v>62</v>
      </c>
      <c r="H16" t="s">
        <v>18</v>
      </c>
      <c r="I16" t="s">
        <v>30</v>
      </c>
      <c r="J16" t="s">
        <v>75</v>
      </c>
      <c r="K16" t="s">
        <v>103</v>
      </c>
      <c r="L16">
        <v>0</v>
      </c>
      <c r="M16" t="s">
        <v>76</v>
      </c>
      <c r="O16">
        <v>0</v>
      </c>
      <c r="P16" t="s">
        <v>77</v>
      </c>
      <c r="S16" t="s">
        <v>78</v>
      </c>
      <c r="V16" t="s">
        <v>79</v>
      </c>
      <c r="Y16" t="s">
        <v>80</v>
      </c>
      <c r="AB16" t="s">
        <v>81</v>
      </c>
      <c r="AE16" t="s">
        <v>82</v>
      </c>
      <c r="AH16" t="s">
        <v>83</v>
      </c>
      <c r="AK16" t="s">
        <v>84</v>
      </c>
      <c r="AN16" t="s">
        <v>85</v>
      </c>
    </row>
    <row r="17" spans="1:52">
      <c r="A17" t="s">
        <v>22</v>
      </c>
      <c r="B17" t="s">
        <v>22</v>
      </c>
      <c r="C17" t="s">
        <v>23</v>
      </c>
      <c r="D17" t="s">
        <v>24</v>
      </c>
      <c r="E17" t="s">
        <v>145</v>
      </c>
      <c r="F17" t="s">
        <v>26</v>
      </c>
      <c r="G17" t="s">
        <v>64</v>
      </c>
      <c r="H17" t="s">
        <v>65</v>
      </c>
      <c r="I17" t="s">
        <v>30</v>
      </c>
      <c r="J17" t="s">
        <v>77</v>
      </c>
      <c r="K17" t="s">
        <v>98</v>
      </c>
      <c r="L17">
        <v>0</v>
      </c>
      <c r="M17" t="s">
        <v>82</v>
      </c>
      <c r="N17" t="s">
        <v>93</v>
      </c>
      <c r="O17">
        <f t="shared" si="0"/>
        <v>11.66874999999709</v>
      </c>
      <c r="P17" t="s">
        <v>83</v>
      </c>
      <c r="Q17" t="s">
        <v>94</v>
      </c>
      <c r="S17" t="s">
        <v>84</v>
      </c>
      <c r="T17" t="s">
        <v>95</v>
      </c>
      <c r="V17" t="s">
        <v>85</v>
      </c>
      <c r="W17" t="s">
        <v>99</v>
      </c>
      <c r="Y17" t="s">
        <v>75</v>
      </c>
      <c r="AB17" t="s">
        <v>76</v>
      </c>
      <c r="AE17" t="s">
        <v>78</v>
      </c>
      <c r="AH17" t="s">
        <v>79</v>
      </c>
      <c r="AK17" t="s">
        <v>80</v>
      </c>
      <c r="AN17" t="s">
        <v>81</v>
      </c>
      <c r="AQ17">
        <v>11.67</v>
      </c>
      <c r="AR17">
        <v>2.12</v>
      </c>
      <c r="AS17">
        <v>1.08</v>
      </c>
      <c r="AT17">
        <v>3.84</v>
      </c>
    </row>
    <row r="18" spans="1:52">
      <c r="A18" t="s">
        <v>35</v>
      </c>
      <c r="B18" t="s">
        <v>35</v>
      </c>
      <c r="C18" t="s">
        <v>36</v>
      </c>
      <c r="D18" t="s">
        <v>37</v>
      </c>
      <c r="E18" t="s">
        <v>146</v>
      </c>
      <c r="F18" t="s">
        <v>39</v>
      </c>
      <c r="G18" t="s">
        <v>67</v>
      </c>
      <c r="H18" t="s">
        <v>18</v>
      </c>
      <c r="I18" t="s">
        <v>30</v>
      </c>
      <c r="J18" t="s">
        <v>75</v>
      </c>
      <c r="L18">
        <v>0</v>
      </c>
      <c r="M18" t="s">
        <v>76</v>
      </c>
      <c r="O18">
        <f t="shared" si="0"/>
        <v>0</v>
      </c>
      <c r="P18" t="s">
        <v>77</v>
      </c>
      <c r="S18" t="s">
        <v>78</v>
      </c>
      <c r="V18" t="s">
        <v>79</v>
      </c>
      <c r="Y18" t="s">
        <v>80</v>
      </c>
      <c r="AB18" t="s">
        <v>81</v>
      </c>
      <c r="AE18" t="s">
        <v>82</v>
      </c>
      <c r="AH18" t="s">
        <v>83</v>
      </c>
      <c r="AK18" t="s">
        <v>84</v>
      </c>
      <c r="AN18" t="s">
        <v>85</v>
      </c>
      <c r="AP18" t="s">
        <v>69</v>
      </c>
    </row>
    <row r="19" spans="1:52">
      <c r="A19" t="s">
        <v>70</v>
      </c>
      <c r="B19" t="s">
        <v>45</v>
      </c>
      <c r="C19" t="s">
        <v>46</v>
      </c>
      <c r="D19" t="s">
        <v>47</v>
      </c>
      <c r="E19" t="s">
        <v>147</v>
      </c>
      <c r="F19" t="s">
        <v>49</v>
      </c>
      <c r="G19" t="s">
        <v>52</v>
      </c>
      <c r="H19" t="s">
        <v>18</v>
      </c>
      <c r="I19" t="s">
        <v>30</v>
      </c>
      <c r="J19" t="s">
        <v>75</v>
      </c>
      <c r="K19" t="s">
        <v>103</v>
      </c>
      <c r="L19">
        <v>0</v>
      </c>
      <c r="M19" t="s">
        <v>77</v>
      </c>
      <c r="N19" t="s">
        <v>98</v>
      </c>
      <c r="O19">
        <f t="shared" si="0"/>
        <v>1.1180555555547471</v>
      </c>
      <c r="P19" t="s">
        <v>76</v>
      </c>
      <c r="Q19" t="s">
        <v>100</v>
      </c>
      <c r="S19" t="s">
        <v>78</v>
      </c>
      <c r="T19" t="s">
        <v>102</v>
      </c>
      <c r="V19" t="s">
        <v>79</v>
      </c>
      <c r="W19" t="s">
        <v>101</v>
      </c>
      <c r="Y19" t="s">
        <v>80</v>
      </c>
      <c r="Z19" t="s">
        <v>91</v>
      </c>
      <c r="AB19" t="s">
        <v>81</v>
      </c>
      <c r="AC19" t="s">
        <v>92</v>
      </c>
      <c r="AE19" t="s">
        <v>82</v>
      </c>
      <c r="AF19" t="s">
        <v>93</v>
      </c>
      <c r="AH19" t="s">
        <v>83</v>
      </c>
      <c r="AI19" t="s">
        <v>94</v>
      </c>
      <c r="AK19" t="s">
        <v>84</v>
      </c>
      <c r="AL19" t="s">
        <v>95</v>
      </c>
      <c r="AN19" t="s">
        <v>85</v>
      </c>
      <c r="AO19" t="s">
        <v>99</v>
      </c>
      <c r="AQ19">
        <v>1.1200000000000001</v>
      </c>
      <c r="AR19">
        <v>2.88</v>
      </c>
      <c r="AS19">
        <v>1.1200000000000001</v>
      </c>
      <c r="AT19">
        <v>1</v>
      </c>
      <c r="AU19">
        <v>3.88</v>
      </c>
      <c r="AV19">
        <v>0.91</v>
      </c>
      <c r="AW19">
        <v>1.88</v>
      </c>
      <c r="AX19">
        <v>2.12</v>
      </c>
      <c r="AY19">
        <v>1.08</v>
      </c>
      <c r="AZ19">
        <v>3.84</v>
      </c>
    </row>
    <row r="25" spans="1:52">
      <c r="A25" s="1" t="s">
        <v>137</v>
      </c>
    </row>
  </sheetData>
  <mergeCells count="1"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1"/>
  <sheetViews>
    <sheetView workbookViewId="0">
      <selection activeCell="P9" sqref="P9"/>
    </sheetView>
  </sheetViews>
  <sheetFormatPr defaultRowHeight="14.45"/>
  <sheetData>
    <row r="2" spans="2:13">
      <c r="B2" s="6" t="s">
        <v>148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2:13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2:13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2:1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2:1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2:1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2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2:1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2: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2:1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2:1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2:1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1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2:1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2:1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2:1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2:1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2:1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2:1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2:1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2:1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2:1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2:1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2:1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2:1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2:1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2:1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</sheetData>
  <mergeCells count="2">
    <mergeCell ref="B3:M31"/>
    <mergeCell ref="B2:M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E1DF-29B2-4EE7-AD44-ABA89BD461C4}">
  <dimension ref="B1:S163"/>
  <sheetViews>
    <sheetView tabSelected="1" workbookViewId="0">
      <selection activeCell="B1" sqref="B1"/>
    </sheetView>
  </sheetViews>
  <sheetFormatPr defaultRowHeight="14.45"/>
  <sheetData>
    <row r="1" spans="2:19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2:19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2:19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2:19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2:19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2:19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2:19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2:19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2:1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2:19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2:19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2:19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2:19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2:19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2:19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2:19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2:19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2:19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2:19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2:19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2:19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2:19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2:19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2:19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2:19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2:19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2:19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2:19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2:1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2:19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2:19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2:19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2:19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2:19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19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19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2:19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2:19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2:19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2:19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2:19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2:19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2:19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2:19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2:19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2:19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2:19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2:19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2:19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2:19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2:19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2:19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2:19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2:19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2:19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2:19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2:19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2:1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2:19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2:19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2:19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2:19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2:19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2:19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2:19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2:19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2:19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2:1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2:19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2:19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2:19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2:19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2:19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2:19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2:19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2:19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2:19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2:19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2:1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2:19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2:19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2:19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2:19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2:19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2:19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2:19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2:19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2:19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2:1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2:19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2:19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2:19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2:19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2:19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2:19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2:19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2:19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2:19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2: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2:19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2:19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2:19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2:19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2:19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2:19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2:19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2:19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2:19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2:19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2:1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2:19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2:19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2:19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2:19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2:19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2:19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2:19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2:19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2:19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2:1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2:19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2:19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2:19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2:19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</sheetData>
  <mergeCells count="1">
    <mergeCell ref="B1:S16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E356-166F-49A7-B22F-730C464F684F}">
  <dimension ref="A1"/>
  <sheetViews>
    <sheetView workbookViewId="0">
      <selection activeCell="Q5" sqref="Q5"/>
    </sheetView>
  </sheetViews>
  <sheetFormatPr defaultRowHeight="14.4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Samit Shriyak Shah</dc:creator>
  <cp:keywords/>
  <dc:description/>
  <cp:lastModifiedBy/>
  <cp:revision/>
  <dcterms:created xsi:type="dcterms:W3CDTF">2026-07-27T06:14:15Z</dcterms:created>
  <dcterms:modified xsi:type="dcterms:W3CDTF">2026-07-31T11:27:49Z</dcterms:modified>
  <cp:category/>
  <cp:contentStatus/>
</cp:coreProperties>
</file>